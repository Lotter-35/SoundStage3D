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  <row r="378">
      <c r="A378" s="2" t="inlineStr">
        <is>
          <t>2026-10-15 01:47</t>
        </is>
      </c>
      <c r="B378" s="2" t="inlineStr">
        <is>
          <t>8a17da4 +modifs</t>
        </is>
      </c>
      <c r="C378" s="2" t="inlineStr">
        <is>
          <t>14. Lasers : fumee de la piece (coupee, laserfog=0)</t>
        </is>
      </c>
      <c r="D378" s="2" t="inlineStr">
        <is>
          <t>adaptive=0, laserfog=0, immobile, banc rapide, 5 cas</t>
        </is>
      </c>
      <c r="E378" s="2" t="n">
        <v>3</v>
      </c>
      <c r="F378" s="2" t="inlineStr">
        <is>
          <t>L1 eventails 200 x 1000 traits / public</t>
        </is>
      </c>
      <c r="G378" s="3" t="n">
        <v>12.127</v>
      </c>
      <c r="H378" s="4">
        <f>IF(G378&gt;0,1000/G378,"")</f>
        <v/>
      </c>
      <c r="I378" s="3" t="n">
        <v>11.183</v>
      </c>
      <c r="J378" s="3" t="n">
        <v>11.267</v>
      </c>
      <c r="K378" s="3" t="n">
        <v>0.525</v>
      </c>
      <c r="L378" s="3" t="n">
        <v>0.572</v>
      </c>
      <c r="M378" s="3" t="n"/>
      <c r="N378" s="2" t="n">
        <v>0</v>
      </c>
      <c r="O378" s="2" t="inlineStr">
        <is>
          <t>e3_fogcost2_A0, e3_fogcost2_A1, e3_fogcost2_A2</t>
        </is>
      </c>
      <c r="P378" s="3" t="n">
        <v>8.247999999999999</v>
      </c>
      <c r="Q378" s="2" t="inlineStr">
        <is>
          <t>lasers</t>
        </is>
      </c>
    </row>
    <row r="379">
      <c r="A379" s="2" t="inlineStr">
        <is>
          <t>2026-10-15 01:47</t>
        </is>
      </c>
      <c r="B379" s="2" t="inlineStr">
        <is>
          <t>8a17da4 +modifs</t>
        </is>
      </c>
      <c r="C379" s="2" t="inlineStr">
        <is>
          <t>14. Lasers : fumee de la piece (coupee, laserfog=0)</t>
        </is>
      </c>
      <c r="D379" s="2" t="inlineStr">
        <is>
          <t>adaptive=0, laserfog=0, immobile, banc rapide, 5 cas</t>
        </is>
      </c>
      <c r="E379" s="2" t="n">
        <v>3</v>
      </c>
      <c r="F379" s="2" t="inlineStr">
        <is>
          <t>L2 cones 200 x 32 segments / public</t>
        </is>
      </c>
      <c r="G379" s="3" t="n">
        <v>14.623</v>
      </c>
      <c r="H379" s="4">
        <f>IF(G379&gt;0,1000/G379,"")</f>
        <v/>
      </c>
      <c r="I379" s="3" t="n">
        <v>13.973</v>
      </c>
      <c r="J379" s="3" t="n">
        <v>14.043</v>
      </c>
      <c r="K379" s="3" t="n">
        <v>0.529</v>
      </c>
      <c r="L379" s="3" t="n">
        <v>0.611</v>
      </c>
      <c r="M379" s="3" t="n"/>
      <c r="N379" s="2" t="n">
        <v>0</v>
      </c>
      <c r="O379" s="2" t="inlineStr">
        <is>
          <t>e3_fogcost2_A0, e3_fogcost2_A1, e3_fogcost2_A2</t>
        </is>
      </c>
      <c r="P379" s="3" t="n">
        <v>10.6</v>
      </c>
      <c r="Q379" s="2" t="inlineStr">
        <is>
          <t>lasers</t>
        </is>
      </c>
    </row>
    <row r="380">
      <c r="A380" s="2" t="inlineStr">
        <is>
          <t>2026-10-15 01:47</t>
        </is>
      </c>
      <c r="B380" s="2" t="inlineStr">
        <is>
          <t>8a17da4 +modifs</t>
        </is>
      </c>
      <c r="C380" s="2" t="inlineStr">
        <is>
          <t>14. Lasers : fumee de la piece (coupee, laserfog=0)</t>
        </is>
      </c>
      <c r="D380" s="2" t="inlineStr">
        <is>
          <t>adaptive=0, laserfog=0, immobile, banc rapide, 5 cas</t>
        </is>
      </c>
      <c r="E380" s="2" t="n">
        <v>3</v>
      </c>
      <c r="F380" s="2" t="inlineStr">
        <is>
          <t>L3 camera dans les nappes</t>
        </is>
      </c>
      <c r="G380" s="3" t="n">
        <v>11.293</v>
      </c>
      <c r="H380" s="4">
        <f>IF(G380&gt;0,1000/G380,"")</f>
        <v/>
      </c>
      <c r="I380" s="3" t="n">
        <v>10.227</v>
      </c>
      <c r="J380" s="3" t="n">
        <v>10.17</v>
      </c>
      <c r="K380" s="3" t="n">
        <v>0.583</v>
      </c>
      <c r="L380" s="3" t="n">
        <v>0.573</v>
      </c>
      <c r="M380" s="3" t="n"/>
      <c r="N380" s="2" t="n">
        <v>0</v>
      </c>
      <c r="O380" s="2" t="inlineStr">
        <is>
          <t>e3_fogcost2_A0, e3_fogcost2_A1, e3_fogcost2_A2</t>
        </is>
      </c>
      <c r="P380" s="3" t="n">
        <v>7.241</v>
      </c>
      <c r="Q380" s="2" t="inlineStr">
        <is>
          <t>lasers</t>
        </is>
      </c>
    </row>
    <row r="381">
      <c r="A381" s="2" t="inlineStr">
        <is>
          <t>2026-10-15 01:47</t>
        </is>
      </c>
      <c r="B381" s="2" t="inlineStr">
        <is>
          <t>8a17da4 +modifs</t>
        </is>
      </c>
      <c r="C381" s="2" t="inlineStr">
        <is>
          <t>14. Lasers : fumee de la piece (coupee, laserfog=0)</t>
        </is>
      </c>
      <c r="D381" s="2" t="inlineStr">
        <is>
          <t>adaptive=0, laserfog=0, immobile, banc rapide, 5 cas</t>
        </is>
      </c>
      <c r="E381" s="2" t="n">
        <v>3</v>
      </c>
      <c r="F381" s="2" t="inlineStr">
        <is>
          <t>L4 200 x 8 traits separes / public</t>
        </is>
      </c>
      <c r="G381" s="3" t="n">
        <v>7.58</v>
      </c>
      <c r="H381" s="4">
        <f>IF(G381&gt;0,1000/G381,"")</f>
        <v/>
      </c>
      <c r="I381" s="3" t="n">
        <v>5.313</v>
      </c>
      <c r="J381" s="3" t="n">
        <v>4.773</v>
      </c>
      <c r="K381" s="3" t="n">
        <v>0.611</v>
      </c>
      <c r="L381" s="3" t="n">
        <v>0.535</v>
      </c>
      <c r="M381" s="3" t="n"/>
      <c r="N381" s="2" t="n">
        <v>0</v>
      </c>
      <c r="O381" s="2" t="inlineStr">
        <is>
          <t>e3_fogcost2_A0, e3_fogcost2_A1, e3_fogcost2_A2</t>
        </is>
      </c>
      <c r="P381" s="3" t="n">
        <v>1.249</v>
      </c>
      <c r="Q381" s="2" t="inlineStr">
        <is>
          <t>lasers</t>
        </is>
      </c>
    </row>
    <row r="382">
      <c r="A382" s="2" t="inlineStr">
        <is>
          <t>2026-10-15 01:47</t>
        </is>
      </c>
      <c r="B382" s="2" t="inlineStr">
        <is>
          <t>8a17da4 +modifs</t>
        </is>
      </c>
      <c r="C382" s="2" t="inlineStr">
        <is>
          <t>14. Lasers : fumee de la piece (coupee, laserfog=0)</t>
        </is>
      </c>
      <c r="D382" s="2" t="inlineStr">
        <is>
          <t>adaptive=0, laserfog=0, immobile, banc rapide, 5 cas</t>
        </is>
      </c>
      <c r="E382" s="2" t="n">
        <v>3</v>
      </c>
      <c r="F382" s="2" t="inlineStr">
        <is>
          <t>M1 100 lyres + 100 lasers / public</t>
        </is>
      </c>
      <c r="G382" s="3" t="n">
        <v>11.047</v>
      </c>
      <c r="H382" s="4">
        <f>IF(G382&gt;0,1000/G382,"")</f>
        <v/>
      </c>
      <c r="I382" s="3" t="n">
        <v>9.917</v>
      </c>
      <c r="J382" s="3" t="n">
        <v>9.827</v>
      </c>
      <c r="K382" s="3" t="n">
        <v>1.193</v>
      </c>
      <c r="L382" s="3" t="n">
        <v>1.336</v>
      </c>
      <c r="M382" s="3" t="n"/>
      <c r="N382" s="2" t="n">
        <v>49</v>
      </c>
      <c r="O382" s="2" t="inlineStr">
        <is>
          <t>e3_fogcost2_A0, e3_fogcost2_A1, e3_fogcost2_A2</t>
        </is>
      </c>
      <c r="P382" s="3" t="n">
        <v>4.01</v>
      </c>
      <c r="Q382" s="2" t="inlineStr">
        <is>
          <t>lasers</t>
        </is>
      </c>
    </row>
    <row r="383">
      <c r="A383" s="2" t="inlineStr">
        <is>
          <t>2026-10-15 01:47</t>
        </is>
      </c>
      <c r="B383" s="2" t="inlineStr">
        <is>
          <t>8a17da4 +modifs</t>
        </is>
      </c>
      <c r="C383" s="2" t="inlineStr">
        <is>
          <t>14. Lasers : fumee de la piece (laserfog=1)</t>
        </is>
      </c>
      <c r="D383" s="2" t="inlineStr">
        <is>
          <t>adaptive=0, laserfog=1, immobile, banc rapide, 5 cas</t>
        </is>
      </c>
      <c r="E383" s="2" t="n">
        <v>3</v>
      </c>
      <c r="F383" s="2" t="inlineStr">
        <is>
          <t>L1 eventails 200 x 1000 traits / public</t>
        </is>
      </c>
      <c r="G383" s="3" t="n">
        <v>12.64</v>
      </c>
      <c r="H383" s="4">
        <f>IF(G383&gt;0,1000/G383,"")</f>
        <v/>
      </c>
      <c r="I383" s="3" t="n">
        <v>11.793</v>
      </c>
      <c r="J383" s="3" t="n">
        <v>11.693</v>
      </c>
      <c r="K383" s="3" t="n">
        <v>0.55</v>
      </c>
      <c r="L383" s="3" t="n">
        <v>0.622</v>
      </c>
      <c r="M383" s="3" t="n"/>
      <c r="N383" s="2" t="n">
        <v>0</v>
      </c>
      <c r="O383" s="2" t="inlineStr">
        <is>
          <t>e3_fogcost2_B0, e3_fogcost2_B1, e3_fogcost2_B2</t>
        </is>
      </c>
      <c r="P383" s="3" t="n">
        <v>8.478</v>
      </c>
      <c r="Q383" s="2" t="inlineStr">
        <is>
          <t>lasers</t>
        </is>
      </c>
    </row>
    <row r="384">
      <c r="A384" s="2" t="inlineStr">
        <is>
          <t>2026-10-15 01:47</t>
        </is>
      </c>
      <c r="B384" s="2" t="inlineStr">
        <is>
          <t>8a17da4 +modifs</t>
        </is>
      </c>
      <c r="C384" s="2" t="inlineStr">
        <is>
          <t>14. Lasers : fumee de la piece (laserfog=1)</t>
        </is>
      </c>
      <c r="D384" s="2" t="inlineStr">
        <is>
          <t>adaptive=0, laserfog=1, immobile, banc rapide, 5 cas</t>
        </is>
      </c>
      <c r="E384" s="2" t="n">
        <v>3</v>
      </c>
      <c r="F384" s="2" t="inlineStr">
        <is>
          <t>L2 cones 200 x 32 segments / public</t>
        </is>
      </c>
      <c r="G384" s="3" t="n">
        <v>15.563</v>
      </c>
      <c r="H384" s="4">
        <f>IF(G384&gt;0,1000/G384,"")</f>
        <v/>
      </c>
      <c r="I384" s="3" t="n">
        <v>14.957</v>
      </c>
      <c r="J384" s="3" t="n">
        <v>14.93</v>
      </c>
      <c r="K384" s="3" t="n">
        <v>0.552</v>
      </c>
      <c r="L384" s="3" t="n">
        <v>0.532</v>
      </c>
      <c r="M384" s="3" t="n"/>
      <c r="N384" s="2" t="n">
        <v>0</v>
      </c>
      <c r="O384" s="2" t="inlineStr">
        <is>
          <t>e3_fogcost2_B0, e3_fogcost2_B1, e3_fogcost2_B2</t>
        </is>
      </c>
      <c r="P384" s="3" t="n">
        <v>11.391</v>
      </c>
      <c r="Q384" s="2" t="inlineStr">
        <is>
          <t>lasers</t>
        </is>
      </c>
    </row>
    <row r="385">
      <c r="A385" s="2" t="inlineStr">
        <is>
          <t>2026-10-15 01:47</t>
        </is>
      </c>
      <c r="B385" s="2" t="inlineStr">
        <is>
          <t>8a17da4 +modifs</t>
        </is>
      </c>
      <c r="C385" s="2" t="inlineStr">
        <is>
          <t>14. Lasers : fumee de la piece (laserfog=1)</t>
        </is>
      </c>
      <c r="D385" s="2" t="inlineStr">
        <is>
          <t>adaptive=0, laserfog=1, immobile, banc rapide, 5 cas</t>
        </is>
      </c>
      <c r="E385" s="2" t="n">
        <v>3</v>
      </c>
      <c r="F385" s="2" t="inlineStr">
        <is>
          <t>L3 camera dans les nappes</t>
        </is>
      </c>
      <c r="G385" s="3" t="n">
        <v>12.193</v>
      </c>
      <c r="H385" s="4">
        <f>IF(G385&gt;0,1000/G385,"")</f>
        <v/>
      </c>
      <c r="I385" s="3" t="n">
        <v>11.25</v>
      </c>
      <c r="J385" s="3" t="n">
        <v>10.757</v>
      </c>
      <c r="K385" s="3" t="n">
        <v>0.671</v>
      </c>
      <c r="L385" s="3" t="n">
        <v>0.647</v>
      </c>
      <c r="M385" s="3" t="n"/>
      <c r="N385" s="2" t="n">
        <v>0</v>
      </c>
      <c r="O385" s="2" t="inlineStr">
        <is>
          <t>e3_fogcost2_B0, e3_fogcost2_B1, e3_fogcost2_B2</t>
        </is>
      </c>
      <c r="P385" s="3" t="n">
        <v>7.813</v>
      </c>
      <c r="Q385" s="2" t="inlineStr">
        <is>
          <t>lasers</t>
        </is>
      </c>
    </row>
    <row r="386">
      <c r="A386" s="2" t="inlineStr">
        <is>
          <t>2026-10-15 01:47</t>
        </is>
      </c>
      <c r="B386" s="2" t="inlineStr">
        <is>
          <t>8a17da4 +modifs</t>
        </is>
      </c>
      <c r="C386" s="2" t="inlineStr">
        <is>
          <t>14. Lasers : fumee de la piece (laserfog=1)</t>
        </is>
      </c>
      <c r="D386" s="2" t="inlineStr">
        <is>
          <t>adaptive=0, laserfog=1, immobile, banc rapide, 5 cas</t>
        </is>
      </c>
      <c r="E386" s="2" t="n">
        <v>3</v>
      </c>
      <c r="F386" s="2" t="inlineStr">
        <is>
          <t>L4 200 x 8 traits separes / public</t>
        </is>
      </c>
      <c r="G386" s="3" t="n">
        <v>7.767</v>
      </c>
      <c r="H386" s="4">
        <f>IF(G386&gt;0,1000/G386,"")</f>
        <v/>
      </c>
      <c r="I386" s="3" t="n">
        <v>5.337</v>
      </c>
      <c r="J386" s="3" t="n">
        <v>5.003</v>
      </c>
      <c r="K386" s="3" t="n">
        <v>0.628</v>
      </c>
      <c r="L386" s="3" t="n">
        <v>0.536</v>
      </c>
      <c r="M386" s="3" t="n"/>
      <c r="N386" s="2" t="n">
        <v>0</v>
      </c>
      <c r="O386" s="2" t="inlineStr">
        <is>
          <t>e3_fogcost2_B0, e3_fogcost2_B1, e3_fogcost2_B2</t>
        </is>
      </c>
      <c r="P386" s="3" t="n">
        <v>1.329</v>
      </c>
      <c r="Q386" s="2" t="inlineStr">
        <is>
          <t>lasers</t>
        </is>
      </c>
    </row>
    <row r="387">
      <c r="A387" s="2" t="inlineStr">
        <is>
          <t>2026-10-15 01:47</t>
        </is>
      </c>
      <c r="B387" s="2" t="inlineStr">
        <is>
          <t>8a17da4 +modifs</t>
        </is>
      </c>
      <c r="C387" s="2" t="inlineStr">
        <is>
          <t>14. Lasers : fumee de la piece (laserfog=1)</t>
        </is>
      </c>
      <c r="D387" s="2" t="inlineStr">
        <is>
          <t>adaptive=0, laserfog=1, immobile, banc rapide, 5 cas</t>
        </is>
      </c>
      <c r="E387" s="2" t="n">
        <v>3</v>
      </c>
      <c r="F387" s="2" t="inlineStr">
        <is>
          <t>M1 100 lyres + 100 lasers / public</t>
        </is>
      </c>
      <c r="G387" s="3" t="n">
        <v>11.4</v>
      </c>
      <c r="H387" s="4">
        <f>IF(G387&gt;0,1000/G387,"")</f>
        <v/>
      </c>
      <c r="I387" s="3" t="n">
        <v>10.58</v>
      </c>
      <c r="J387" s="3" t="n">
        <v>10.35</v>
      </c>
      <c r="K387" s="3" t="n">
        <v>1.218</v>
      </c>
      <c r="L387" s="3" t="n">
        <v>1.313</v>
      </c>
      <c r="M387" s="3" t="n"/>
      <c r="N387" s="2" t="n">
        <v>49</v>
      </c>
      <c r="O387" s="2" t="inlineStr">
        <is>
          <t>e3_fogcost2_B0, e3_fogcost2_B1, e3_fogcost2_B2</t>
        </is>
      </c>
      <c r="P387" s="3" t="n">
        <v>4.696</v>
      </c>
      <c r="Q387" s="2" t="inlineStr">
        <is>
          <t>lasers</t>
        </is>
      </c>
    </row>
    <row r="388">
      <c r="A388" s="2" t="inlineStr">
        <is>
          <t>2026-10-15 01:50</t>
        </is>
      </c>
      <c r="B388" s="2" t="inlineStr">
        <is>
          <t>8a17da4 +modifs</t>
        </is>
      </c>
      <c r="C388" s="2" t="inlineStr">
        <is>
          <t>15. Lasers : diffusion avant 1 lobe (laserphase=0)</t>
        </is>
      </c>
      <c r="D388" s="2" t="inlineStr">
        <is>
          <t>adaptive=0, laserphase=0, immobile, banc rapide, 5 cas</t>
        </is>
      </c>
      <c r="E388" s="2" t="n">
        <v>3</v>
      </c>
      <c r="F388" s="2" t="inlineStr">
        <is>
          <t>L1 eventails 200 x 1000 traits / public</t>
        </is>
      </c>
      <c r="G388" s="3" t="n">
        <v>12.733</v>
      </c>
      <c r="H388" s="4">
        <f>IF(G388&gt;0,1000/G388,"")</f>
        <v/>
      </c>
      <c r="I388" s="3" t="n">
        <v>12.043</v>
      </c>
      <c r="J388" s="3" t="n">
        <v>11.817</v>
      </c>
      <c r="K388" s="3" t="n">
        <v>0.755</v>
      </c>
      <c r="L388" s="3" t="n">
        <v>0.629</v>
      </c>
      <c r="M388" s="3" t="n"/>
      <c r="N388" s="2" t="n">
        <v>0</v>
      </c>
      <c r="O388" s="2" t="inlineStr">
        <is>
          <t>e3_phase_A0, e3_phase_A1, e3_phase_A2</t>
        </is>
      </c>
      <c r="P388" s="3" t="n">
        <v>8.548</v>
      </c>
      <c r="Q388" s="2" t="inlineStr">
        <is>
          <t>lasers</t>
        </is>
      </c>
    </row>
    <row r="389">
      <c r="A389" s="2" t="inlineStr">
        <is>
          <t>2026-10-15 01:50</t>
        </is>
      </c>
      <c r="B389" s="2" t="inlineStr">
        <is>
          <t>8a17da4 +modifs</t>
        </is>
      </c>
      <c r="C389" s="2" t="inlineStr">
        <is>
          <t>15. Lasers : diffusion avant 1 lobe (laserphase=0)</t>
        </is>
      </c>
      <c r="D389" s="2" t="inlineStr">
        <is>
          <t>adaptive=0, laserphase=0, immobile, banc rapide, 5 cas</t>
        </is>
      </c>
      <c r="E389" s="2" t="n">
        <v>3</v>
      </c>
      <c r="F389" s="2" t="inlineStr">
        <is>
          <t>L2 cones 200 x 32 segments / public</t>
        </is>
      </c>
      <c r="G389" s="3" t="n">
        <v>15.08</v>
      </c>
      <c r="H389" s="4">
        <f>IF(G389&gt;0,1000/G389,"")</f>
        <v/>
      </c>
      <c r="I389" s="3" t="n">
        <v>14.537</v>
      </c>
      <c r="J389" s="3" t="n">
        <v>14.45</v>
      </c>
      <c r="K389" s="3" t="n">
        <v>0.545</v>
      </c>
      <c r="L389" s="3" t="n">
        <v>0.526</v>
      </c>
      <c r="M389" s="3" t="n"/>
      <c r="N389" s="2" t="n">
        <v>0</v>
      </c>
      <c r="O389" s="2" t="inlineStr">
        <is>
          <t>e3_phase_A0, e3_phase_A1, e3_phase_A2</t>
        </is>
      </c>
      <c r="P389" s="3" t="n">
        <v>11.428</v>
      </c>
      <c r="Q389" s="2" t="inlineStr">
        <is>
          <t>lasers</t>
        </is>
      </c>
    </row>
    <row r="390">
      <c r="A390" s="2" t="inlineStr">
        <is>
          <t>2026-10-15 01:50</t>
        </is>
      </c>
      <c r="B390" s="2" t="inlineStr">
        <is>
          <t>8a17da4 +modifs</t>
        </is>
      </c>
      <c r="C390" s="2" t="inlineStr">
        <is>
          <t>15. Lasers : diffusion avant 1 lobe (laserphase=0)</t>
        </is>
      </c>
      <c r="D390" s="2" t="inlineStr">
        <is>
          <t>adaptive=0, laserphase=0, immobile, banc rapide, 5 cas</t>
        </is>
      </c>
      <c r="E390" s="2" t="n">
        <v>3</v>
      </c>
      <c r="F390" s="2" t="inlineStr">
        <is>
          <t>L3 camera dans les nappes</t>
        </is>
      </c>
      <c r="G390" s="3" t="n">
        <v>11.967</v>
      </c>
      <c r="H390" s="4">
        <f>IF(G390&gt;0,1000/G390,"")</f>
        <v/>
      </c>
      <c r="I390" s="3" t="n">
        <v>11.117</v>
      </c>
      <c r="J390" s="3" t="n">
        <v>11.033</v>
      </c>
      <c r="K390" s="3" t="n">
        <v>0.673</v>
      </c>
      <c r="L390" s="3" t="n">
        <v>0.642</v>
      </c>
      <c r="M390" s="3" t="n"/>
      <c r="N390" s="2" t="n">
        <v>0</v>
      </c>
      <c r="O390" s="2" t="inlineStr">
        <is>
          <t>e3_phase_A0, e3_phase_A1, e3_phase_A2</t>
        </is>
      </c>
      <c r="P390" s="3" t="n">
        <v>7.876</v>
      </c>
      <c r="Q390" s="2" t="inlineStr">
        <is>
          <t>lasers</t>
        </is>
      </c>
    </row>
    <row r="391">
      <c r="A391" s="2" t="inlineStr">
        <is>
          <t>2026-10-15 01:50</t>
        </is>
      </c>
      <c r="B391" s="2" t="inlineStr">
        <is>
          <t>8a17da4 +modifs</t>
        </is>
      </c>
      <c r="C391" s="2" t="inlineStr">
        <is>
          <t>15. Lasers : diffusion avant 1 lobe (laserphase=0)</t>
        </is>
      </c>
      <c r="D391" s="2" t="inlineStr">
        <is>
          <t>adaptive=0, laserphase=0, immobile, banc rapide, 5 cas</t>
        </is>
      </c>
      <c r="E391" s="2" t="n">
        <v>3</v>
      </c>
      <c r="F391" s="2" t="inlineStr">
        <is>
          <t>L4 200 x 8 traits separes / public</t>
        </is>
      </c>
      <c r="G391" s="3" t="n">
        <v>7.743</v>
      </c>
      <c r="H391" s="4">
        <f>IF(G391&gt;0,1000/G391,"")</f>
        <v/>
      </c>
      <c r="I391" s="3" t="n">
        <v>5.153</v>
      </c>
      <c r="J391" s="3" t="n">
        <v>5.76</v>
      </c>
      <c r="K391" s="3" t="n">
        <v>0.551</v>
      </c>
      <c r="L391" s="3" t="n">
        <v>0.476</v>
      </c>
      <c r="M391" s="3" t="n"/>
      <c r="N391" s="2" t="n">
        <v>0</v>
      </c>
      <c r="O391" s="2" t="inlineStr">
        <is>
          <t>e3_phase_A0, e3_phase_A1, e3_phase_A2</t>
        </is>
      </c>
      <c r="P391" s="3" t="n">
        <v>1.32</v>
      </c>
      <c r="Q391" s="2" t="inlineStr">
        <is>
          <t>lasers</t>
        </is>
      </c>
    </row>
    <row r="392">
      <c r="A392" s="2" t="inlineStr">
        <is>
          <t>2026-10-15 01:50</t>
        </is>
      </c>
      <c r="B392" s="2" t="inlineStr">
        <is>
          <t>8a17da4 +modifs</t>
        </is>
      </c>
      <c r="C392" s="2" t="inlineStr">
        <is>
          <t>15. Lasers : diffusion avant 1 lobe (laserphase=0)</t>
        </is>
      </c>
      <c r="D392" s="2" t="inlineStr">
        <is>
          <t>adaptive=0, laserphase=0, immobile, banc rapide, 5 cas</t>
        </is>
      </c>
      <c r="E392" s="2" t="n">
        <v>3</v>
      </c>
      <c r="F392" s="2" t="inlineStr">
        <is>
          <t>M1 100 lyres + 100 lasers / public</t>
        </is>
      </c>
      <c r="G392" s="3" t="n">
        <v>11.583</v>
      </c>
      <c r="H392" s="4">
        <f>IF(G392&gt;0,1000/G392,"")</f>
        <v/>
      </c>
      <c r="I392" s="3" t="n">
        <v>10.737</v>
      </c>
      <c r="J392" s="3" t="n">
        <v>10.347</v>
      </c>
      <c r="K392" s="3" t="n">
        <v>1.187</v>
      </c>
      <c r="L392" s="3" t="n">
        <v>1.272</v>
      </c>
      <c r="M392" s="3" t="n"/>
      <c r="N392" s="2" t="n">
        <v>49</v>
      </c>
      <c r="O392" s="2" t="inlineStr">
        <is>
          <t>e3_phase_A0, e3_phase_A1, e3_phase_A2</t>
        </is>
      </c>
      <c r="P392" s="3" t="n">
        <v>4.954</v>
      </c>
      <c r="Q392" s="2" t="inlineStr">
        <is>
          <t>lasers</t>
        </is>
      </c>
    </row>
    <row r="393">
      <c r="A393" s="2" t="inlineStr">
        <is>
          <t>2026-10-15 01:50</t>
        </is>
      </c>
      <c r="B393" s="2" t="inlineStr">
        <is>
          <t>8a17da4 +modifs</t>
        </is>
      </c>
      <c r="C393" s="2" t="inlineStr">
        <is>
          <t>15. Lasers : diffusion avant 2 lobes (laserphase=1)</t>
        </is>
      </c>
      <c r="D393" s="2" t="inlineStr">
        <is>
          <t>adaptive=0, laserphase=1, immobile, banc rapide, 5 cas</t>
        </is>
      </c>
      <c r="E393" s="2" t="n">
        <v>3</v>
      </c>
      <c r="F393" s="2" t="inlineStr">
        <is>
          <t>L1 eventails 200 x 1000 traits / public</t>
        </is>
      </c>
      <c r="G393" s="3" t="n">
        <v>12.75</v>
      </c>
      <c r="H393" s="4">
        <f>IF(G393&gt;0,1000/G393,"")</f>
        <v/>
      </c>
      <c r="I393" s="3" t="n">
        <v>11.983</v>
      </c>
      <c r="J393" s="3" t="n">
        <v>11.727</v>
      </c>
      <c r="K393" s="3" t="n">
        <v>0.727</v>
      </c>
      <c r="L393" s="3" t="n">
        <v>0.622</v>
      </c>
      <c r="M393" s="3" t="n"/>
      <c r="N393" s="2" t="n">
        <v>0</v>
      </c>
      <c r="O393" s="2" t="inlineStr">
        <is>
          <t>e3_phase_B0, e3_phase_B1, e3_phase_B2</t>
        </is>
      </c>
      <c r="P393" s="3" t="n">
        <v>8.209</v>
      </c>
      <c r="Q393" s="2" t="inlineStr">
        <is>
          <t>lasers</t>
        </is>
      </c>
    </row>
    <row r="394">
      <c r="A394" s="2" t="inlineStr">
        <is>
          <t>2026-10-15 01:50</t>
        </is>
      </c>
      <c r="B394" s="2" t="inlineStr">
        <is>
          <t>8a17da4 +modifs</t>
        </is>
      </c>
      <c r="C394" s="2" t="inlineStr">
        <is>
          <t>15. Lasers : diffusion avant 2 lobes (laserphase=1)</t>
        </is>
      </c>
      <c r="D394" s="2" t="inlineStr">
        <is>
          <t>adaptive=0, laserphase=1, immobile, banc rapide, 5 cas</t>
        </is>
      </c>
      <c r="E394" s="2" t="n">
        <v>3</v>
      </c>
      <c r="F394" s="2" t="inlineStr">
        <is>
          <t>L2 cones 200 x 32 segments / public</t>
        </is>
      </c>
      <c r="G394" s="3" t="n">
        <v>15.693</v>
      </c>
      <c r="H394" s="4">
        <f>IF(G394&gt;0,1000/G394,"")</f>
        <v/>
      </c>
      <c r="I394" s="3" t="n">
        <v>15.037</v>
      </c>
      <c r="J394" s="3" t="n">
        <v>14.88</v>
      </c>
      <c r="K394" s="3" t="n">
        <v>0.626</v>
      </c>
      <c r="L394" s="3" t="n">
        <v>0.585</v>
      </c>
      <c r="M394" s="3" t="n"/>
      <c r="N394" s="2" t="n">
        <v>0</v>
      </c>
      <c r="O394" s="2" t="inlineStr">
        <is>
          <t>e3_phase_B0, e3_phase_B1, e3_phase_B2</t>
        </is>
      </c>
      <c r="P394" s="3" t="n">
        <v>11.431</v>
      </c>
      <c r="Q394" s="2" t="inlineStr">
        <is>
          <t>lasers</t>
        </is>
      </c>
    </row>
    <row r="395">
      <c r="A395" s="2" t="inlineStr">
        <is>
          <t>2026-10-15 01:50</t>
        </is>
      </c>
      <c r="B395" s="2" t="inlineStr">
        <is>
          <t>8a17da4 +modifs</t>
        </is>
      </c>
      <c r="C395" s="2" t="inlineStr">
        <is>
          <t>15. Lasers : diffusion avant 2 lobes (laserphase=1)</t>
        </is>
      </c>
      <c r="D395" s="2" t="inlineStr">
        <is>
          <t>adaptive=0, laserphase=1, immobile, banc rapide, 5 cas</t>
        </is>
      </c>
      <c r="E395" s="2" t="n">
        <v>3</v>
      </c>
      <c r="F395" s="2" t="inlineStr">
        <is>
          <t>L3 camera dans les nappes</t>
        </is>
      </c>
      <c r="G395" s="3" t="n">
        <v>12.06</v>
      </c>
      <c r="H395" s="4">
        <f>IF(G395&gt;0,1000/G395,"")</f>
        <v/>
      </c>
      <c r="I395" s="3" t="n">
        <v>11.257</v>
      </c>
      <c r="J395" s="3" t="n">
        <v>11.007</v>
      </c>
      <c r="K395" s="3" t="n">
        <v>0.598</v>
      </c>
      <c r="L395" s="3" t="n">
        <v>0.68</v>
      </c>
      <c r="M395" s="3" t="n"/>
      <c r="N395" s="2" t="n">
        <v>0</v>
      </c>
      <c r="O395" s="2" t="inlineStr">
        <is>
          <t>e3_phase_B0, e3_phase_B1, e3_phase_B2</t>
        </is>
      </c>
      <c r="P395" s="3" t="n">
        <v>8.055</v>
      </c>
      <c r="Q395" s="2" t="inlineStr">
        <is>
          <t>lasers</t>
        </is>
      </c>
    </row>
    <row r="396">
      <c r="A396" s="2" t="inlineStr">
        <is>
          <t>2026-10-15 01:50</t>
        </is>
      </c>
      <c r="B396" s="2" t="inlineStr">
        <is>
          <t>8a17da4 +modifs</t>
        </is>
      </c>
      <c r="C396" s="2" t="inlineStr">
        <is>
          <t>15. Lasers : diffusion avant 2 lobes (laserphase=1)</t>
        </is>
      </c>
      <c r="D396" s="2" t="inlineStr">
        <is>
          <t>adaptive=0, laserphase=1, immobile, banc rapide, 5 cas</t>
        </is>
      </c>
      <c r="E396" s="2" t="n">
        <v>3</v>
      </c>
      <c r="F396" s="2" t="inlineStr">
        <is>
          <t>L4 200 x 8 traits separes / public</t>
        </is>
      </c>
      <c r="G396" s="3" t="n">
        <v>7.77</v>
      </c>
      <c r="H396" s="4">
        <f>IF(G396&gt;0,1000/G396,"")</f>
        <v/>
      </c>
      <c r="I396" s="3" t="n">
        <v>5.023</v>
      </c>
      <c r="J396" s="3" t="n">
        <v>4.933</v>
      </c>
      <c r="K396" s="3" t="n">
        <v>0.549</v>
      </c>
      <c r="L396" s="3" t="n">
        <v>0.475</v>
      </c>
      <c r="M396" s="3" t="n"/>
      <c r="N396" s="2" t="n">
        <v>0</v>
      </c>
      <c r="O396" s="2" t="inlineStr">
        <is>
          <t>e3_phase_B0, e3_phase_B1, e3_phase_B2</t>
        </is>
      </c>
      <c r="P396" s="3" t="n">
        <v>1.325</v>
      </c>
      <c r="Q396" s="2" t="inlineStr">
        <is>
          <t>lasers</t>
        </is>
      </c>
    </row>
    <row r="397">
      <c r="A397" s="2" t="inlineStr">
        <is>
          <t>2026-10-15 01:50</t>
        </is>
      </c>
      <c r="B397" s="2" t="inlineStr">
        <is>
          <t>8a17da4 +modifs</t>
        </is>
      </c>
      <c r="C397" s="2" t="inlineStr">
        <is>
          <t>15. Lasers : diffusion avant 2 lobes (laserphase=1)</t>
        </is>
      </c>
      <c r="D397" s="2" t="inlineStr">
        <is>
          <t>adaptive=0, laserphase=1, immobile, banc rapide, 5 cas</t>
        </is>
      </c>
      <c r="E397" s="2" t="n">
        <v>3</v>
      </c>
      <c r="F397" s="2" t="inlineStr">
        <is>
          <t>M1 100 lyres + 100 lasers / public</t>
        </is>
      </c>
      <c r="G397" s="3" t="n">
        <v>11.467</v>
      </c>
      <c r="H397" s="4">
        <f>IF(G397&gt;0,1000/G397,"")</f>
        <v/>
      </c>
      <c r="I397" s="3" t="n">
        <v>10.627</v>
      </c>
      <c r="J397" s="3" t="n">
        <v>10.42</v>
      </c>
      <c r="K397" s="3" t="n">
        <v>1.232</v>
      </c>
      <c r="L397" s="3" t="n">
        <v>1.274</v>
      </c>
      <c r="M397" s="3" t="n"/>
      <c r="N397" s="2" t="n">
        <v>49</v>
      </c>
      <c r="O397" s="2" t="inlineStr">
        <is>
          <t>e3_phase_B0, e3_phase_B1, e3_phase_B2</t>
        </is>
      </c>
      <c r="P397" s="3" t="n">
        <v>4.785</v>
      </c>
      <c r="Q397" s="2" t="inlineStr">
        <is>
          <t>lasers</t>
        </is>
      </c>
    </row>
    <row r="398">
      <c r="A398" s="2" t="inlineStr">
        <is>
          <t>2026-10-15 02:17</t>
        </is>
      </c>
      <c r="B398" s="2" t="inlineStr">
        <is>
          <t>8a17da4 +modifs</t>
        </is>
      </c>
      <c r="C398" s="2" t="inlineStr">
        <is>
          <t>16. Lasers : volutes coupees (volutes=0)</t>
        </is>
      </c>
      <c r="D398" s="2" t="inlineStr">
        <is>
          <t>adaptive=0, volutes=0, immobile, banc rapide, 5 cas</t>
        </is>
      </c>
      <c r="E398" s="2" t="n">
        <v>2</v>
      </c>
      <c r="F398" s="2" t="inlineStr">
        <is>
          <t>L1 eventails 200 x 1000 traits / public</t>
        </is>
      </c>
      <c r="G398" s="3" t="n">
        <v>13.035</v>
      </c>
      <c r="H398" s="4">
        <f>IF(G398&gt;0,1000/G398,"")</f>
        <v/>
      </c>
      <c r="I398" s="3" t="n">
        <v>12.035</v>
      </c>
      <c r="J398" s="3" t="n">
        <v>10.555</v>
      </c>
      <c r="K398" s="3" t="n">
        <v>0.772</v>
      </c>
      <c r="L398" s="3" t="n">
        <v>0.637</v>
      </c>
      <c r="M398" s="3" t="n"/>
      <c r="N398" s="2" t="n">
        <v>0</v>
      </c>
      <c r="O398" s="2" t="inlineStr">
        <is>
          <t>e3_vol_t16_A0, e3_vol_t16_A1</t>
        </is>
      </c>
      <c r="P398" s="3" t="n">
        <v>7.394</v>
      </c>
      <c r="Q398" s="2" t="inlineStr">
        <is>
          <t>lasers</t>
        </is>
      </c>
    </row>
    <row r="399">
      <c r="A399" s="2" t="inlineStr">
        <is>
          <t>2026-10-15 02:17</t>
        </is>
      </c>
      <c r="B399" s="2" t="inlineStr">
        <is>
          <t>8a17da4 +modifs</t>
        </is>
      </c>
      <c r="C399" s="2" t="inlineStr">
        <is>
          <t>16. Lasers : volutes coupees (volutes=0)</t>
        </is>
      </c>
      <c r="D399" s="2" t="inlineStr">
        <is>
          <t>adaptive=0, volutes=0, immobile, banc rapide, 5 cas</t>
        </is>
      </c>
      <c r="E399" s="2" t="n">
        <v>2</v>
      </c>
      <c r="F399" s="2" t="inlineStr">
        <is>
          <t>L2 cones 200 x 32 segments / public</t>
        </is>
      </c>
      <c r="G399" s="3" t="n">
        <v>16.12</v>
      </c>
      <c r="H399" s="4">
        <f>IF(G399&gt;0,1000/G399,"")</f>
        <v/>
      </c>
      <c r="I399" s="3" t="n">
        <v>15.42</v>
      </c>
      <c r="J399" s="3" t="n">
        <v>13.625</v>
      </c>
      <c r="K399" s="3" t="n">
        <v>0.774</v>
      </c>
      <c r="L399" s="3" t="n">
        <v>0.667</v>
      </c>
      <c r="M399" s="3" t="n"/>
      <c r="N399" s="2" t="n">
        <v>0</v>
      </c>
      <c r="O399" s="2" t="inlineStr">
        <is>
          <t>e3_vol_t16_A0, e3_vol_t16_A1</t>
        </is>
      </c>
      <c r="P399" s="3" t="n">
        <v>9.973000000000001</v>
      </c>
      <c r="Q399" s="2" t="inlineStr">
        <is>
          <t>lasers</t>
        </is>
      </c>
    </row>
    <row r="400">
      <c r="A400" s="2" t="inlineStr">
        <is>
          <t>2026-10-15 02:17</t>
        </is>
      </c>
      <c r="B400" s="2" t="inlineStr">
        <is>
          <t>8a17da4 +modifs</t>
        </is>
      </c>
      <c r="C400" s="2" t="inlineStr">
        <is>
          <t>16. Lasers : volutes coupees (volutes=0)</t>
        </is>
      </c>
      <c r="D400" s="2" t="inlineStr">
        <is>
          <t>adaptive=0, volutes=0, immobile, banc rapide, 5 cas</t>
        </is>
      </c>
      <c r="E400" s="2" t="n">
        <v>2</v>
      </c>
      <c r="F400" s="2" t="inlineStr">
        <is>
          <t>L3 camera dans les nappes</t>
        </is>
      </c>
      <c r="G400" s="3" t="n">
        <v>12.455</v>
      </c>
      <c r="H400" s="4">
        <f>IF(G400&gt;0,1000/G400,"")</f>
        <v/>
      </c>
      <c r="I400" s="3" t="n">
        <v>11.49</v>
      </c>
      <c r="J400" s="3" t="n">
        <v>10.065</v>
      </c>
      <c r="K400" s="3" t="n">
        <v>0.746</v>
      </c>
      <c r="L400" s="3" t="n">
        <v>0.694</v>
      </c>
      <c r="M400" s="3" t="n"/>
      <c r="N400" s="2" t="n">
        <v>0</v>
      </c>
      <c r="O400" s="2" t="inlineStr">
        <is>
          <t>e3_vol_t16_A0, e3_vol_t16_A1</t>
        </is>
      </c>
      <c r="P400" s="3" t="n">
        <v>6.813</v>
      </c>
      <c r="Q400" s="2" t="inlineStr">
        <is>
          <t>lasers</t>
        </is>
      </c>
    </row>
    <row r="401">
      <c r="A401" s="2" t="inlineStr">
        <is>
          <t>2026-10-15 02:17</t>
        </is>
      </c>
      <c r="B401" s="2" t="inlineStr">
        <is>
          <t>8a17da4 +modifs</t>
        </is>
      </c>
      <c r="C401" s="2" t="inlineStr">
        <is>
          <t>16. Lasers : volutes coupees (volutes=0)</t>
        </is>
      </c>
      <c r="D401" s="2" t="inlineStr">
        <is>
          <t>adaptive=0, volutes=0, immobile, banc rapide, 5 cas</t>
        </is>
      </c>
      <c r="E401" s="2" t="n">
        <v>2</v>
      </c>
      <c r="F401" s="2" t="inlineStr">
        <is>
          <t>L4 200 x 8 traits separes / public</t>
        </is>
      </c>
      <c r="G401" s="3" t="n">
        <v>7.66</v>
      </c>
      <c r="H401" s="4">
        <f>IF(G401&gt;0,1000/G401,"")</f>
        <v/>
      </c>
      <c r="I401" s="3" t="n">
        <v>6.435</v>
      </c>
      <c r="J401" s="3" t="n">
        <v>4.67</v>
      </c>
      <c r="K401" s="3" t="n">
        <v>0.78</v>
      </c>
      <c r="L401" s="3" t="n">
        <v>0.655</v>
      </c>
      <c r="M401" s="3" t="n"/>
      <c r="N401" s="2" t="n">
        <v>0</v>
      </c>
      <c r="O401" s="2" t="inlineStr">
        <is>
          <t>e3_vol_t16_A0, e3_vol_t16_A1</t>
        </is>
      </c>
      <c r="P401" s="3" t="n">
        <v>1.448</v>
      </c>
      <c r="Q401" s="2" t="inlineStr">
        <is>
          <t>lasers</t>
        </is>
      </c>
    </row>
    <row r="402">
      <c r="A402" s="2" t="inlineStr">
        <is>
          <t>2026-10-15 02:17</t>
        </is>
      </c>
      <c r="B402" s="2" t="inlineStr">
        <is>
          <t>8a17da4 +modifs</t>
        </is>
      </c>
      <c r="C402" s="2" t="inlineStr">
        <is>
          <t>16. Lasers : volutes coupees (volutes=0)</t>
        </is>
      </c>
      <c r="D402" s="2" t="inlineStr">
        <is>
          <t>adaptive=0, volutes=0, immobile, banc rapide, 5 cas</t>
        </is>
      </c>
      <c r="E402" s="2" t="n">
        <v>2</v>
      </c>
      <c r="F402" s="2" t="inlineStr">
        <is>
          <t>M1 100 lyres + 100 lasers / public</t>
        </is>
      </c>
      <c r="G402" s="3" t="n">
        <v>12.445</v>
      </c>
      <c r="H402" s="4">
        <f>IF(G402&gt;0,1000/G402,"")</f>
        <v/>
      </c>
      <c r="I402" s="3" t="n">
        <v>11.54</v>
      </c>
      <c r="J402" s="3" t="n">
        <v>9.535</v>
      </c>
      <c r="K402" s="3" t="n">
        <v>1.228</v>
      </c>
      <c r="L402" s="3" t="n">
        <v>1.392</v>
      </c>
      <c r="M402" s="3" t="n"/>
      <c r="N402" s="2" t="n">
        <v>49</v>
      </c>
      <c r="O402" s="2" t="inlineStr">
        <is>
          <t>e3_vol_t16_A0, e3_vol_t16_A1</t>
        </is>
      </c>
      <c r="P402" s="3" t="n">
        <v>4.223</v>
      </c>
      <c r="Q402" s="2" t="inlineStr">
        <is>
          <t>lasers</t>
        </is>
      </c>
    </row>
    <row r="403">
      <c r="A403" s="2" t="inlineStr">
        <is>
          <t>2026-10-15 02:17</t>
        </is>
      </c>
      <c r="B403" s="2" t="inlineStr">
        <is>
          <t>8a17da4 +modifs</t>
        </is>
      </c>
      <c r="C403" s="2" t="inlineStr">
        <is>
          <t>16. Lasers : volutes 1 octave (BC5 64^3, 1,6 m)</t>
        </is>
      </c>
      <c r="D403" s="2" t="inlineStr">
        <is>
          <t>adaptive=0, volutes=1, voltaille=1.6, immobile, banc rapide, 5 cas</t>
        </is>
      </c>
      <c r="E403" s="2" t="n">
        <v>2</v>
      </c>
      <c r="F403" s="2" t="inlineStr">
        <is>
          <t>L1 eventails 200 x 1000 traits / public</t>
        </is>
      </c>
      <c r="G403" s="3" t="n">
        <v>13.71</v>
      </c>
      <c r="H403" s="4">
        <f>IF(G403&gt;0,1000/G403,"")</f>
        <v/>
      </c>
      <c r="I403" s="3" t="n">
        <v>12.75</v>
      </c>
      <c r="J403" s="3" t="n">
        <v>11.485</v>
      </c>
      <c r="K403" s="3" t="n">
        <v>0.795</v>
      </c>
      <c r="L403" s="3" t="n">
        <v>0.625</v>
      </c>
      <c r="M403" s="3" t="n"/>
      <c r="N403" s="2" t="n">
        <v>0</v>
      </c>
      <c r="O403" s="2" t="inlineStr">
        <is>
          <t>e3_vol_t16_B0, e3_vol_t16_B1</t>
        </is>
      </c>
      <c r="P403" s="3" t="n">
        <v>8.180999999999999</v>
      </c>
      <c r="Q403" s="2" t="inlineStr">
        <is>
          <t>lasers</t>
        </is>
      </c>
    </row>
    <row r="404">
      <c r="A404" s="2" t="inlineStr">
        <is>
          <t>2026-10-15 02:17</t>
        </is>
      </c>
      <c r="B404" s="2" t="inlineStr">
        <is>
          <t>8a17da4 +modifs</t>
        </is>
      </c>
      <c r="C404" s="2" t="inlineStr">
        <is>
          <t>16. Lasers : volutes 1 octave (BC5 64^3, 1,6 m)</t>
        </is>
      </c>
      <c r="D404" s="2" t="inlineStr">
        <is>
          <t>adaptive=0, volutes=1, voltaille=1.6, immobile, banc rapide, 5 cas</t>
        </is>
      </c>
      <c r="E404" s="2" t="n">
        <v>2</v>
      </c>
      <c r="F404" s="2" t="inlineStr">
        <is>
          <t>L2 cones 200 x 32 segments / public</t>
        </is>
      </c>
      <c r="G404" s="3" t="n">
        <v>16.765</v>
      </c>
      <c r="H404" s="4">
        <f>IF(G404&gt;0,1000/G404,"")</f>
        <v/>
      </c>
      <c r="I404" s="3" t="n">
        <v>16.025</v>
      </c>
      <c r="J404" s="3" t="n">
        <v>14.65</v>
      </c>
      <c r="K404" s="3" t="n">
        <v>0.799</v>
      </c>
      <c r="L404" s="3" t="n">
        <v>0.629</v>
      </c>
      <c r="M404" s="3" t="n"/>
      <c r="N404" s="2" t="n">
        <v>0</v>
      </c>
      <c r="O404" s="2" t="inlineStr">
        <is>
          <t>e3_vol_t16_B0, e3_vol_t16_B1</t>
        </is>
      </c>
      <c r="P404" s="3" t="n">
        <v>11.171</v>
      </c>
      <c r="Q404" s="2" t="inlineStr">
        <is>
          <t>lasers</t>
        </is>
      </c>
    </row>
    <row r="405">
      <c r="A405" s="2" t="inlineStr">
        <is>
          <t>2026-10-15 02:17</t>
        </is>
      </c>
      <c r="B405" s="2" t="inlineStr">
        <is>
          <t>8a17da4 +modifs</t>
        </is>
      </c>
      <c r="C405" s="2" t="inlineStr">
        <is>
          <t>16. Lasers : volutes 1 octave (BC5 64^3, 1,6 m)</t>
        </is>
      </c>
      <c r="D405" s="2" t="inlineStr">
        <is>
          <t>adaptive=0, volutes=1, voltaille=1.6, immobile, banc rapide, 5 cas</t>
        </is>
      </c>
      <c r="E405" s="2" t="n">
        <v>2</v>
      </c>
      <c r="F405" s="2" t="inlineStr">
        <is>
          <t>L3 camera dans les nappes</t>
        </is>
      </c>
      <c r="G405" s="3" t="n">
        <v>12.915</v>
      </c>
      <c r="H405" s="4">
        <f>IF(G405&gt;0,1000/G405,"")</f>
        <v/>
      </c>
      <c r="I405" s="3" t="n">
        <v>11.965</v>
      </c>
      <c r="J405" s="3" t="n">
        <v>10.84</v>
      </c>
      <c r="K405" s="3" t="n">
        <v>0.75</v>
      </c>
      <c r="L405" s="3" t="n">
        <v>0.6820000000000001</v>
      </c>
      <c r="M405" s="3" t="n"/>
      <c r="N405" s="2" t="n">
        <v>0</v>
      </c>
      <c r="O405" s="2" t="inlineStr">
        <is>
          <t>e3_vol_t16_B0, e3_vol_t16_B1</t>
        </is>
      </c>
      <c r="P405" s="3" t="n">
        <v>7.454</v>
      </c>
      <c r="Q405" s="2" t="inlineStr">
        <is>
          <t>lasers</t>
        </is>
      </c>
    </row>
    <row r="406">
      <c r="A406" s="2" t="inlineStr">
        <is>
          <t>2026-10-15 02:17</t>
        </is>
      </c>
      <c r="B406" s="2" t="inlineStr">
        <is>
          <t>8a17da4 +modifs</t>
        </is>
      </c>
      <c r="C406" s="2" t="inlineStr">
        <is>
          <t>16. Lasers : volutes 1 octave (BC5 64^3, 1,6 m)</t>
        </is>
      </c>
      <c r="D406" s="2" t="inlineStr">
        <is>
          <t>adaptive=0, volutes=1, voltaille=1.6, immobile, banc rapide, 5 cas</t>
        </is>
      </c>
      <c r="E406" s="2" t="n">
        <v>2</v>
      </c>
      <c r="F406" s="2" t="inlineStr">
        <is>
          <t>L4 200 x 8 traits separes / public</t>
        </is>
      </c>
      <c r="G406" s="3" t="n">
        <v>7.475</v>
      </c>
      <c r="H406" s="4">
        <f>IF(G406&gt;0,1000/G406,"")</f>
        <v/>
      </c>
      <c r="I406" s="3" t="n">
        <v>6.09</v>
      </c>
      <c r="J406" s="3" t="n">
        <v>4.765</v>
      </c>
      <c r="K406" s="3" t="n">
        <v>0.78</v>
      </c>
      <c r="L406" s="3" t="n">
        <v>0.634</v>
      </c>
      <c r="M406" s="3" t="n"/>
      <c r="N406" s="2" t="n">
        <v>0</v>
      </c>
      <c r="O406" s="2" t="inlineStr">
        <is>
          <t>e3_vol_t16_B0, e3_vol_t16_B1</t>
        </is>
      </c>
      <c r="P406" s="3" t="n">
        <v>1.488</v>
      </c>
      <c r="Q406" s="2" t="inlineStr">
        <is>
          <t>lasers</t>
        </is>
      </c>
    </row>
    <row r="407">
      <c r="A407" s="2" t="inlineStr">
        <is>
          <t>2026-10-15 02:17</t>
        </is>
      </c>
      <c r="B407" s="2" t="inlineStr">
        <is>
          <t>8a17da4 +modifs</t>
        </is>
      </c>
      <c r="C407" s="2" t="inlineStr">
        <is>
          <t>16. Lasers : volutes 1 octave (BC5 64^3, 1,6 m)</t>
        </is>
      </c>
      <c r="D407" s="2" t="inlineStr">
        <is>
          <t>adaptive=0, volutes=1, voltaille=1.6, immobile, banc rapide, 5 cas</t>
        </is>
      </c>
      <c r="E407" s="2" t="n">
        <v>2</v>
      </c>
      <c r="F407" s="2" t="inlineStr">
        <is>
          <t>M1 100 lyres + 100 lasers / public</t>
        </is>
      </c>
      <c r="G407" s="3" t="n">
        <v>12.385</v>
      </c>
      <c r="H407" s="4">
        <f>IF(G407&gt;0,1000/G407,"")</f>
        <v/>
      </c>
      <c r="I407" s="3" t="n">
        <v>11.62</v>
      </c>
      <c r="J407" s="3" t="n">
        <v>10.42</v>
      </c>
      <c r="K407" s="3" t="n">
        <v>1.284</v>
      </c>
      <c r="L407" s="3" t="n">
        <v>1.355</v>
      </c>
      <c r="M407" s="3" t="n"/>
      <c r="N407" s="2" t="n">
        <v>49</v>
      </c>
      <c r="O407" s="2" t="inlineStr">
        <is>
          <t>e3_vol_t16_B0, e3_vol_t16_B1</t>
        </is>
      </c>
      <c r="P407" s="3" t="n">
        <v>4.473</v>
      </c>
      <c r="Q407" s="2" t="inlineStr">
        <is>
          <t>lasers</t>
        </is>
      </c>
    </row>
    <row r="408">
      <c r="A408" s="2" t="inlineStr">
        <is>
          <t>2026-10-15 02:22</t>
        </is>
      </c>
      <c r="B408" s="2" t="inlineStr">
        <is>
          <t>8a17da4 +modifs</t>
        </is>
      </c>
      <c r="C408" s="2" t="inlineStr">
        <is>
          <t>17. Lasers : volutes, 2e octave coupee (volfine=0)</t>
        </is>
      </c>
      <c r="D408" s="2" t="inlineStr">
        <is>
          <t>adaptive=0, volfine=0, immobile, banc rapide, 14 cas</t>
        </is>
      </c>
      <c r="E408" s="2" t="n">
        <v>2</v>
      </c>
      <c r="F408" s="2" t="inlineStr">
        <is>
          <t>L1 eventails 200 x 1000 traits / public</t>
        </is>
      </c>
      <c r="G408" s="3" t="n">
        <v>14.605</v>
      </c>
      <c r="H408" s="4">
        <f>IF(G408&gt;0,1000/G408,"")</f>
        <v/>
      </c>
      <c r="I408" s="3" t="n">
        <v>13.815</v>
      </c>
      <c r="J408" s="3" t="n">
        <v>12.285</v>
      </c>
      <c r="K408" s="3" t="n">
        <v>0.824</v>
      </c>
      <c r="L408" s="3" t="n">
        <v>0.647</v>
      </c>
      <c r="M408" s="3" t="n"/>
      <c r="N408" s="2" t="n">
        <v>0</v>
      </c>
      <c r="O408" s="2" t="inlineStr">
        <is>
          <t>e3_volfine2_A0, e3_volfine2_A1</t>
        </is>
      </c>
      <c r="P408" s="3" t="n">
        <v>9.002000000000001</v>
      </c>
      <c r="Q408" s="2" t="inlineStr">
        <is>
          <t>lasers</t>
        </is>
      </c>
    </row>
    <row r="409">
      <c r="A409" s="2" t="inlineStr">
        <is>
          <t>2026-10-15 02:22</t>
        </is>
      </c>
      <c r="B409" s="2" t="inlineStr">
        <is>
          <t>8a17da4 +modifs</t>
        </is>
      </c>
      <c r="C409" s="2" t="inlineStr">
        <is>
          <t>17. Lasers : volutes, 2e octave coupee (volfine=0)</t>
        </is>
      </c>
      <c r="D409" s="2" t="inlineStr">
        <is>
          <t>adaptive=0, volfine=0, immobile, banc rapide, 14 cas</t>
        </is>
      </c>
      <c r="E409" s="2" t="n">
        <v>2</v>
      </c>
      <c r="F409" s="2" t="inlineStr">
        <is>
          <t>L1 eventails 200 x 1000 traits / scene</t>
        </is>
      </c>
      <c r="G409" s="3" t="n">
        <v>12.98</v>
      </c>
      <c r="H409" s="4">
        <f>IF(G409&gt;0,1000/G409,"")</f>
        <v/>
      </c>
      <c r="I409" s="3" t="n">
        <v>11.875</v>
      </c>
      <c r="J409" s="3" t="n">
        <v>10.635</v>
      </c>
      <c r="K409" s="3" t="n">
        <v>0.793</v>
      </c>
      <c r="L409" s="3" t="n">
        <v>0.6879999999999999</v>
      </c>
      <c r="M409" s="3" t="n"/>
      <c r="N409" s="2" t="n">
        <v>0</v>
      </c>
      <c r="O409" s="2" t="inlineStr">
        <is>
          <t>e3_volfine2_A0, e3_volfine2_A1</t>
        </is>
      </c>
      <c r="P409" s="3" t="n">
        <v>7.433</v>
      </c>
      <c r="Q409" s="2" t="inlineStr">
        <is>
          <t>lasers</t>
        </is>
      </c>
    </row>
    <row r="410">
      <c r="A410" s="2" t="inlineStr">
        <is>
          <t>2026-10-15 02:22</t>
        </is>
      </c>
      <c r="B410" s="2" t="inlineStr">
        <is>
          <t>8a17da4 +modifs</t>
        </is>
      </c>
      <c r="C410" s="2" t="inlineStr">
        <is>
          <t>17. Lasers : volutes, 2e octave coupee (volfine=0)</t>
        </is>
      </c>
      <c r="D410" s="2" t="inlineStr">
        <is>
          <t>adaptive=0, volfine=0, immobile, banc rapide, 14 cas</t>
        </is>
      </c>
      <c r="E410" s="2" t="n">
        <v>2</v>
      </c>
      <c r="F410" s="2" t="inlineStr">
        <is>
          <t>L1 eventails 200 x 1000 traits / sous les trusses</t>
        </is>
      </c>
      <c r="G410" s="3" t="n">
        <v>12.795</v>
      </c>
      <c r="H410" s="4">
        <f>IF(G410&gt;0,1000/G410,"")</f>
        <v/>
      </c>
      <c r="I410" s="3" t="n">
        <v>11.9</v>
      </c>
      <c r="J410" s="3" t="n">
        <v>10.54</v>
      </c>
      <c r="K410" s="3" t="n">
        <v>0.721</v>
      </c>
      <c r="L410" s="3" t="n">
        <v>0.79</v>
      </c>
      <c r="M410" s="3" t="n"/>
      <c r="N410" s="2" t="n">
        <v>0</v>
      </c>
      <c r="O410" s="2" t="inlineStr">
        <is>
          <t>e3_volfine2_A0, e3_volfine2_A1</t>
        </is>
      </c>
      <c r="P410" s="3" t="n">
        <v>7.008</v>
      </c>
      <c r="Q410" s="2" t="inlineStr">
        <is>
          <t>lasers</t>
        </is>
      </c>
    </row>
    <row r="411">
      <c r="A411" s="2" t="inlineStr">
        <is>
          <t>2026-10-15 02:22</t>
        </is>
      </c>
      <c r="B411" s="2" t="inlineStr">
        <is>
          <t>8a17da4 +modifs</t>
        </is>
      </c>
      <c r="C411" s="2" t="inlineStr">
        <is>
          <t>17. Lasers : volutes, 2e octave coupee (volfine=0)</t>
        </is>
      </c>
      <c r="D411" s="2" t="inlineStr">
        <is>
          <t>adaptive=0, volfine=0, immobile, banc rapide, 14 cas</t>
        </is>
      </c>
      <c r="E411" s="2" t="n">
        <v>2</v>
      </c>
      <c r="F411" s="2" t="inlineStr">
        <is>
          <t>L2 cones 200 x 32 segments / public</t>
        </is>
      </c>
      <c r="G411" s="3" t="n">
        <v>17.87</v>
      </c>
      <c r="H411" s="4">
        <f>IF(G411&gt;0,1000/G411,"")</f>
        <v/>
      </c>
      <c r="I411" s="3" t="n">
        <v>16.9</v>
      </c>
      <c r="J411" s="3" t="n">
        <v>16.055</v>
      </c>
      <c r="K411" s="3" t="n">
        <v>0.823</v>
      </c>
      <c r="L411" s="3" t="n">
        <v>0.581</v>
      </c>
      <c r="M411" s="3" t="n"/>
      <c r="N411" s="2" t="n">
        <v>0</v>
      </c>
      <c r="O411" s="2" t="inlineStr">
        <is>
          <t>e3_volfine2_A0, e3_volfine2_A1</t>
        </is>
      </c>
      <c r="P411" s="3" t="n">
        <v>12.345</v>
      </c>
      <c r="Q411" s="2" t="inlineStr">
        <is>
          <t>lasers</t>
        </is>
      </c>
    </row>
    <row r="412">
      <c r="A412" s="2" t="inlineStr">
        <is>
          <t>2026-10-15 02:22</t>
        </is>
      </c>
      <c r="B412" s="2" t="inlineStr">
        <is>
          <t>8a17da4 +modifs</t>
        </is>
      </c>
      <c r="C412" s="2" t="inlineStr">
        <is>
          <t>17. Lasers : volutes, 2e octave coupee (volfine=0)</t>
        </is>
      </c>
      <c r="D412" s="2" t="inlineStr">
        <is>
          <t>adaptive=0, volfine=0, immobile, banc rapide, 14 cas</t>
        </is>
      </c>
      <c r="E412" s="2" t="n">
        <v>2</v>
      </c>
      <c r="F412" s="2" t="inlineStr">
        <is>
          <t>L2 cones 200 x 32 segments / scene</t>
        </is>
      </c>
      <c r="G412" s="3" t="n">
        <v>18.525</v>
      </c>
      <c r="H412" s="4">
        <f>IF(G412&gt;0,1000/G412,"")</f>
        <v/>
      </c>
      <c r="I412" s="3" t="n">
        <v>17.595</v>
      </c>
      <c r="J412" s="3" t="n">
        <v>16.24</v>
      </c>
      <c r="K412" s="3" t="n">
        <v>0.831</v>
      </c>
      <c r="L412" s="3" t="n">
        <v>0.715</v>
      </c>
      <c r="M412" s="3" t="n"/>
      <c r="N412" s="2" t="n">
        <v>0</v>
      </c>
      <c r="O412" s="2" t="inlineStr">
        <is>
          <t>e3_volfine2_A0, e3_volfine2_A1</t>
        </is>
      </c>
      <c r="P412" s="3" t="n">
        <v>12.577</v>
      </c>
      <c r="Q412" s="2" t="inlineStr">
        <is>
          <t>lasers</t>
        </is>
      </c>
    </row>
    <row r="413">
      <c r="A413" s="2" t="inlineStr">
        <is>
          <t>2026-10-15 02:22</t>
        </is>
      </c>
      <c r="B413" s="2" t="inlineStr">
        <is>
          <t>8a17da4 +modifs</t>
        </is>
      </c>
      <c r="C413" s="2" t="inlineStr">
        <is>
          <t>17. Lasers : volutes, 2e octave coupee (volfine=0)</t>
        </is>
      </c>
      <c r="D413" s="2" t="inlineStr">
        <is>
          <t>adaptive=0, volfine=0, immobile, banc rapide, 14 cas</t>
        </is>
      </c>
      <c r="E413" s="2" t="n">
        <v>2</v>
      </c>
      <c r="F413" s="2" t="inlineStr">
        <is>
          <t>L3 camera dans les nappes</t>
        </is>
      </c>
      <c r="G413" s="3" t="n">
        <v>14.28</v>
      </c>
      <c r="H413" s="4">
        <f>IF(G413&gt;0,1000/G413,"")</f>
        <v/>
      </c>
      <c r="I413" s="3" t="n">
        <v>13.33</v>
      </c>
      <c r="J413" s="3" t="n">
        <v>12.16</v>
      </c>
      <c r="K413" s="3" t="n">
        <v>0.821</v>
      </c>
      <c r="L413" s="3" t="n">
        <v>0.72</v>
      </c>
      <c r="M413" s="3" t="n"/>
      <c r="N413" s="2" t="n">
        <v>0</v>
      </c>
      <c r="O413" s="2" t="inlineStr">
        <is>
          <t>e3_volfine2_A0, e3_volfine2_A1</t>
        </is>
      </c>
      <c r="P413" s="3" t="n">
        <v>8.257999999999999</v>
      </c>
      <c r="Q413" s="2" t="inlineStr">
        <is>
          <t>lasers</t>
        </is>
      </c>
    </row>
    <row r="414">
      <c r="A414" s="2" t="inlineStr">
        <is>
          <t>2026-10-15 02:22</t>
        </is>
      </c>
      <c r="B414" s="2" t="inlineStr">
        <is>
          <t>8a17da4 +modifs</t>
        </is>
      </c>
      <c r="C414" s="2" t="inlineStr">
        <is>
          <t>17. Lasers : volutes, 2e octave coupee (volfine=0)</t>
        </is>
      </c>
      <c r="D414" s="2" t="inlineStr">
        <is>
          <t>adaptive=0, volfine=0, immobile, banc rapide, 14 cas</t>
        </is>
      </c>
      <c r="E414" s="2" t="n">
        <v>2</v>
      </c>
      <c r="F414" s="2" t="inlineStr">
        <is>
          <t>L4 200 x 8 traits separes / public</t>
        </is>
      </c>
      <c r="G414" s="3" t="n">
        <v>7.95</v>
      </c>
      <c r="H414" s="4">
        <f>IF(G414&gt;0,1000/G414,"")</f>
        <v/>
      </c>
      <c r="I414" s="3" t="n">
        <v>6.455</v>
      </c>
      <c r="J414" s="3" t="n">
        <v>5.045</v>
      </c>
      <c r="K414" s="3" t="n">
        <v>0.8</v>
      </c>
      <c r="L414" s="3" t="n">
        <v>0.645</v>
      </c>
      <c r="M414" s="3" t="n"/>
      <c r="N414" s="2" t="n">
        <v>0</v>
      </c>
      <c r="O414" s="2" t="inlineStr">
        <is>
          <t>e3_volfine2_A0, e3_volfine2_A1</t>
        </is>
      </c>
      <c r="P414" s="3" t="n">
        <v>1.607</v>
      </c>
      <c r="Q414" s="2" t="inlineStr">
        <is>
          <t>lasers</t>
        </is>
      </c>
    </row>
    <row r="415">
      <c r="A415" s="2" t="inlineStr">
        <is>
          <t>2026-10-15 02:22</t>
        </is>
      </c>
      <c r="B415" s="2" t="inlineStr">
        <is>
          <t>8a17da4 +modifs</t>
        </is>
      </c>
      <c r="C415" s="2" t="inlineStr">
        <is>
          <t>17. Lasers : volutes, 2e octave coupee (volfine=0)</t>
        </is>
      </c>
      <c r="D415" s="2" t="inlineStr">
        <is>
          <t>adaptive=0, volfine=0, immobile, banc rapide, 14 cas</t>
        </is>
      </c>
      <c r="E415" s="2" t="n">
        <v>2</v>
      </c>
      <c r="F415" s="2" t="inlineStr">
        <is>
          <t>L5 nappes en gros plan, fumee epaisse</t>
        </is>
      </c>
      <c r="G415" s="3" t="n">
        <v>14</v>
      </c>
      <c r="H415" s="4">
        <f>IF(G415&gt;0,1000/G415,"")</f>
        <v/>
      </c>
      <c r="I415" s="3" t="n">
        <v>12.675</v>
      </c>
      <c r="J415" s="3" t="n">
        <v>11.52</v>
      </c>
      <c r="K415" s="3" t="n">
        <v>0.82</v>
      </c>
      <c r="L415" s="3" t="n">
        <v>0.653</v>
      </c>
      <c r="M415" s="3" t="n"/>
      <c r="N415" s="2" t="n">
        <v>0</v>
      </c>
      <c r="O415" s="2" t="inlineStr">
        <is>
          <t>e3_volfine2_A0, e3_volfine2_A1</t>
        </is>
      </c>
      <c r="P415" s="3" t="n">
        <v>8.159000000000001</v>
      </c>
      <c r="Q415" s="2" t="inlineStr">
        <is>
          <t>lasers</t>
        </is>
      </c>
    </row>
    <row r="416">
      <c r="A416" s="2" t="inlineStr">
        <is>
          <t>2026-10-15 02:22</t>
        </is>
      </c>
      <c r="B416" s="2" t="inlineStr">
        <is>
          <t>8a17da4 +modifs</t>
        </is>
      </c>
      <c r="C416" s="2" t="inlineStr">
        <is>
          <t>17. Lasers : volutes, 2e octave coupee (volfine=0)</t>
        </is>
      </c>
      <c r="D416" s="2" t="inlineStr">
        <is>
          <t>adaptive=0, volfine=0, immobile, banc rapide, 14 cas</t>
        </is>
      </c>
      <c r="E416" s="2" t="n">
        <v>2</v>
      </c>
      <c r="F416" s="2" t="inlineStr">
        <is>
          <t>L6 traits vers le sol et les obstacles / public</t>
        </is>
      </c>
      <c r="G416" s="3" t="n">
        <v>16.885</v>
      </c>
      <c r="H416" s="4">
        <f>IF(G416&gt;0,1000/G416,"")</f>
        <v/>
      </c>
      <c r="I416" s="3" t="n">
        <v>15.83</v>
      </c>
      <c r="J416" s="3" t="n">
        <v>14.805</v>
      </c>
      <c r="K416" s="3" t="n">
        <v>0.895</v>
      </c>
      <c r="L416" s="3" t="n">
        <v>0.669</v>
      </c>
      <c r="M416" s="3" t="n"/>
      <c r="N416" s="2" t="n">
        <v>0</v>
      </c>
      <c r="O416" s="2" t="inlineStr">
        <is>
          <t>e3_volfine2_A0, e3_volfine2_A1</t>
        </is>
      </c>
      <c r="P416" s="3" t="n">
        <v>10.349</v>
      </c>
      <c r="Q416" s="2" t="inlineStr">
        <is>
          <t>lasers</t>
        </is>
      </c>
    </row>
    <row r="417">
      <c r="A417" s="2" t="inlineStr">
        <is>
          <t>2026-10-15 02:22</t>
        </is>
      </c>
      <c r="B417" s="2" t="inlineStr">
        <is>
          <t>8a17da4 +modifs</t>
        </is>
      </c>
      <c r="C417" s="2" t="inlineStr">
        <is>
          <t>17. Lasers : volutes, 2e octave coupee (volfine=0)</t>
        </is>
      </c>
      <c r="D417" s="2" t="inlineStr">
        <is>
          <t>adaptive=0, volfine=0, immobile, banc rapide, 14 cas</t>
        </is>
      </c>
      <c r="E417" s="2" t="n">
        <v>2</v>
      </c>
      <c r="F417" s="2" t="inlineStr">
        <is>
          <t>M1 100 lyres + 100 lasers / public</t>
        </is>
      </c>
      <c r="G417" s="3" t="n">
        <v>12.76</v>
      </c>
      <c r="H417" s="4">
        <f>IF(G417&gt;0,1000/G417,"")</f>
        <v/>
      </c>
      <c r="I417" s="3" t="n">
        <v>11.585</v>
      </c>
      <c r="J417" s="3" t="n">
        <v>10.345</v>
      </c>
      <c r="K417" s="3" t="n">
        <v>1.339</v>
      </c>
      <c r="L417" s="3" t="n">
        <v>1.41</v>
      </c>
      <c r="M417" s="3" t="n"/>
      <c r="N417" s="2" t="n">
        <v>49</v>
      </c>
      <c r="O417" s="2" t="inlineStr">
        <is>
          <t>e3_volfine2_A0, e3_volfine2_A1</t>
        </is>
      </c>
      <c r="P417" s="3" t="n">
        <v>4.804</v>
      </c>
      <c r="Q417" s="2" t="inlineStr">
        <is>
          <t>lasers</t>
        </is>
      </c>
    </row>
    <row r="418">
      <c r="A418" s="2" t="inlineStr">
        <is>
          <t>2026-10-15 02:22</t>
        </is>
      </c>
      <c r="B418" s="2" t="inlineStr">
        <is>
          <t>8a17da4 +modifs</t>
        </is>
      </c>
      <c r="C418" s="2" t="inlineStr">
        <is>
          <t>17. Lasers : volutes, 2e octave coupee (volfine=0)</t>
        </is>
      </c>
      <c r="D418" s="2" t="inlineStr">
        <is>
          <t>adaptive=0, volfine=0, immobile, banc rapide, 14 cas</t>
        </is>
      </c>
      <c r="E418" s="2" t="n">
        <v>2</v>
      </c>
      <c r="F418" s="2" t="inlineStr">
        <is>
          <t>M1 100 lyres + 100 lasers / scene</t>
        </is>
      </c>
      <c r="G418" s="3" t="n">
        <v>12.62</v>
      </c>
      <c r="H418" s="4">
        <f>IF(G418&gt;0,1000/G418,"")</f>
        <v/>
      </c>
      <c r="I418" s="3" t="n">
        <v>11.37</v>
      </c>
      <c r="J418" s="3" t="n">
        <v>9.425000000000001</v>
      </c>
      <c r="K418" s="3" t="n">
        <v>1.236</v>
      </c>
      <c r="L418" s="3" t="n">
        <v>1.346</v>
      </c>
      <c r="M418" s="3" t="n"/>
      <c r="N418" s="2" t="n">
        <v>49</v>
      </c>
      <c r="O418" s="2" t="inlineStr">
        <is>
          <t>e3_volfine2_A0, e3_volfine2_A1</t>
        </is>
      </c>
      <c r="P418" s="3" t="n">
        <v>3.63</v>
      </c>
      <c r="Q418" s="2" t="inlineStr">
        <is>
          <t>lasers</t>
        </is>
      </c>
    </row>
    <row r="419">
      <c r="A419" s="2" t="inlineStr">
        <is>
          <t>2026-10-15 02:22</t>
        </is>
      </c>
      <c r="B419" s="2" t="inlineStr">
        <is>
          <t>8a17da4 +modifs</t>
        </is>
      </c>
      <c r="C419" s="2" t="inlineStr">
        <is>
          <t>17. Lasers : volutes, 2e octave coupee (volfine=0)</t>
        </is>
      </c>
      <c r="D419" s="2" t="inlineStr">
        <is>
          <t>adaptive=0, volfine=0, immobile, banc rapide, 14 cas</t>
        </is>
      </c>
      <c r="E419" s="2" t="n">
        <v>2</v>
      </c>
      <c r="F419" s="2" t="inlineStr">
        <is>
          <t>M1 100 lyres + 100 lasers / sous les trusses</t>
        </is>
      </c>
      <c r="G419" s="3" t="n">
        <v>11.975</v>
      </c>
      <c r="H419" s="4">
        <f>IF(G419&gt;0,1000/G419,"")</f>
        <v/>
      </c>
      <c r="I419" s="3" t="n">
        <v>10.835</v>
      </c>
      <c r="J419" s="3" t="n">
        <v>8.76</v>
      </c>
      <c r="K419" s="3" t="n">
        <v>1.019</v>
      </c>
      <c r="L419" s="3" t="n">
        <v>1.3</v>
      </c>
      <c r="M419" s="3" t="n"/>
      <c r="N419" s="2" t="n">
        <v>49</v>
      </c>
      <c r="O419" s="2" t="inlineStr">
        <is>
          <t>e3_volfine2_A0, e3_volfine2_A1</t>
        </is>
      </c>
      <c r="P419" s="3" t="n">
        <v>3.516</v>
      </c>
      <c r="Q419" s="2" t="inlineStr">
        <is>
          <t>lasers</t>
        </is>
      </c>
    </row>
    <row r="420">
      <c r="A420" s="2" t="inlineStr">
        <is>
          <t>2026-10-15 02:22</t>
        </is>
      </c>
      <c r="B420" s="2" t="inlineStr">
        <is>
          <t>8a17da4 +modifs</t>
        </is>
      </c>
      <c r="C420" s="2" t="inlineStr">
        <is>
          <t>17. Lasers : volutes, 2e octave coupee (volfine=0)</t>
        </is>
      </c>
      <c r="D420" s="2" t="inlineStr">
        <is>
          <t>adaptive=0, volfine=0, immobile, banc rapide, 14 cas</t>
        </is>
      </c>
      <c r="E420" s="2" t="n">
        <v>2</v>
      </c>
      <c r="F420" s="2" t="inlineStr">
        <is>
          <t>sans lasers (scene seule) / public</t>
        </is>
      </c>
      <c r="G420" s="3" t="n">
        <v>6.73</v>
      </c>
      <c r="H420" s="4">
        <f>IF(G420&gt;0,1000/G420,"")</f>
        <v/>
      </c>
      <c r="I420" s="3" t="n">
        <v>4.565</v>
      </c>
      <c r="J420" s="3" t="n">
        <v>4.015</v>
      </c>
      <c r="K420" s="3" t="n">
        <v>0.727</v>
      </c>
      <c r="L420" s="3" t="n">
        <v>1.708</v>
      </c>
      <c r="M420" s="3" t="n"/>
      <c r="N420" s="2" t="n">
        <v>0</v>
      </c>
      <c r="O420" s="2" t="inlineStr">
        <is>
          <t>e3_volfine2_A0, e3_volfine2_A1</t>
        </is>
      </c>
      <c r="P420" s="3" t="n"/>
      <c r="Q420" s="2" t="inlineStr">
        <is>
          <t>lasers</t>
        </is>
      </c>
    </row>
    <row r="421">
      <c r="A421" s="2" t="inlineStr">
        <is>
          <t>2026-10-15 02:22</t>
        </is>
      </c>
      <c r="B421" s="2" t="inlineStr">
        <is>
          <t>8a17da4 +modifs</t>
        </is>
      </c>
      <c r="C421" s="2" t="inlineStr">
        <is>
          <t>17. Lasers : volutes, 2e octave coupee (volfine=0)</t>
        </is>
      </c>
      <c r="D421" s="2" t="inlineStr">
        <is>
          <t>adaptive=0, volfine=0, immobile, banc rapide, 14 cas</t>
        </is>
      </c>
      <c r="E421" s="2" t="n">
        <v>2</v>
      </c>
      <c r="F421" s="2" t="inlineStr">
        <is>
          <t>L7 programmeur : formes, degrades, effets / public</t>
        </is>
      </c>
      <c r="G421" s="3" t="n">
        <v>25.4</v>
      </c>
      <c r="H421" s="4">
        <f>IF(G421&gt;0,1000/G421,"")</f>
        <v/>
      </c>
      <c r="I421" s="3" t="n">
        <v>24.45</v>
      </c>
      <c r="J421" s="3" t="n">
        <v>24.12</v>
      </c>
      <c r="K421" s="3" t="n">
        <v>0.854</v>
      </c>
      <c r="L421" s="3" t="n">
        <v>0.6850000000000001</v>
      </c>
      <c r="M421" s="3" t="n"/>
      <c r="N421" s="2" t="n">
        <v>0</v>
      </c>
      <c r="O421" s="2" t="inlineStr">
        <is>
          <t>e3_volfine2_A0, e3_volfine2_A1</t>
        </is>
      </c>
      <c r="P421" s="3" t="n">
        <v>18.852</v>
      </c>
      <c r="Q421" s="2" t="inlineStr">
        <is>
          <t>lasers</t>
        </is>
      </c>
    </row>
    <row r="422">
      <c r="A422" s="2" t="inlineStr">
        <is>
          <t>2026-10-15 02:22</t>
        </is>
      </c>
      <c r="B422" s="2" t="inlineStr">
        <is>
          <t>8a17da4 +modifs</t>
        </is>
      </c>
      <c r="C422" s="2" t="inlineStr">
        <is>
          <t>17. Lasers : volutes, 2e octave de pres (volfine=1, portee -1)</t>
        </is>
      </c>
      <c r="D422" s="2" t="inlineStr">
        <is>
          <t>adaptive=0, volfine=1, volfinelod=-1, immobile, banc rapide, 14 cas</t>
        </is>
      </c>
      <c r="E422" s="2" t="n">
        <v>2</v>
      </c>
      <c r="F422" s="2" t="inlineStr">
        <is>
          <t>L1 eventails 200 x 1000 traits / public</t>
        </is>
      </c>
      <c r="G422" s="3" t="n">
        <v>15.36</v>
      </c>
      <c r="H422" s="4">
        <f>IF(G422&gt;0,1000/G422,"")</f>
        <v/>
      </c>
      <c r="I422" s="3" t="n">
        <v>14.06</v>
      </c>
      <c r="J422" s="3" t="n">
        <v>12.06</v>
      </c>
      <c r="K422" s="3" t="n">
        <v>0.796</v>
      </c>
      <c r="L422" s="3" t="n">
        <v>0.634</v>
      </c>
      <c r="M422" s="3" t="n"/>
      <c r="N422" s="2" t="n">
        <v>0</v>
      </c>
      <c r="O422" s="2" t="inlineStr">
        <is>
          <t>e3_volfine2_B0, e3_volfine2_B1</t>
        </is>
      </c>
      <c r="P422" s="3" t="n">
        <v>8.957000000000001</v>
      </c>
      <c r="Q422" s="2" t="inlineStr">
        <is>
          <t>lasers</t>
        </is>
      </c>
    </row>
    <row r="423">
      <c r="A423" s="2" t="inlineStr">
        <is>
          <t>2026-10-15 02:22</t>
        </is>
      </c>
      <c r="B423" s="2" t="inlineStr">
        <is>
          <t>8a17da4 +modifs</t>
        </is>
      </c>
      <c r="C423" s="2" t="inlineStr">
        <is>
          <t>17. Lasers : volutes, 2e octave de pres (volfine=1, portee -1)</t>
        </is>
      </c>
      <c r="D423" s="2" t="inlineStr">
        <is>
          <t>adaptive=0, volfine=1, volfinelod=-1, immobile, banc rapide, 14 cas</t>
        </is>
      </c>
      <c r="E423" s="2" t="n">
        <v>2</v>
      </c>
      <c r="F423" s="2" t="inlineStr">
        <is>
          <t>L1 eventails 200 x 1000 traits / scene</t>
        </is>
      </c>
      <c r="G423" s="3" t="n">
        <v>13.695</v>
      </c>
      <c r="H423" s="4">
        <f>IF(G423&gt;0,1000/G423,"")</f>
        <v/>
      </c>
      <c r="I423" s="3" t="n">
        <v>12.575</v>
      </c>
      <c r="J423" s="3" t="n">
        <v>11.165</v>
      </c>
      <c r="K423" s="3" t="n">
        <v>0.8159999999999999</v>
      </c>
      <c r="L423" s="3" t="n">
        <v>0.699</v>
      </c>
      <c r="M423" s="3" t="n"/>
      <c r="N423" s="2" t="n">
        <v>0</v>
      </c>
      <c r="O423" s="2" t="inlineStr">
        <is>
          <t>e3_volfine2_B0, e3_volfine2_B1</t>
        </is>
      </c>
      <c r="P423" s="3" t="n">
        <v>7.665</v>
      </c>
      <c r="Q423" s="2" t="inlineStr">
        <is>
          <t>lasers</t>
        </is>
      </c>
    </row>
    <row r="424">
      <c r="A424" s="2" t="inlineStr">
        <is>
          <t>2026-10-15 02:22</t>
        </is>
      </c>
      <c r="B424" s="2" t="inlineStr">
        <is>
          <t>8a17da4 +modifs</t>
        </is>
      </c>
      <c r="C424" s="2" t="inlineStr">
        <is>
          <t>17. Lasers : volutes, 2e octave de pres (volfine=1, portee -1)</t>
        </is>
      </c>
      <c r="D424" s="2" t="inlineStr">
        <is>
          <t>adaptive=0, volfine=1, volfinelod=-1, immobile, banc rapide, 14 cas</t>
        </is>
      </c>
      <c r="E424" s="2" t="n">
        <v>2</v>
      </c>
      <c r="F424" s="2" t="inlineStr">
        <is>
          <t>L1 eventails 200 x 1000 traits / sous les trusses</t>
        </is>
      </c>
      <c r="G424" s="3" t="n">
        <v>13.515</v>
      </c>
      <c r="H424" s="4">
        <f>IF(G424&gt;0,1000/G424,"")</f>
        <v/>
      </c>
      <c r="I424" s="3" t="n">
        <v>12.39</v>
      </c>
      <c r="J424" s="3" t="n">
        <v>11.035</v>
      </c>
      <c r="K424" s="3" t="n">
        <v>0.775</v>
      </c>
      <c r="L424" s="3" t="n">
        <v>0.792</v>
      </c>
      <c r="M424" s="3" t="n"/>
      <c r="N424" s="2" t="n">
        <v>0</v>
      </c>
      <c r="O424" s="2" t="inlineStr">
        <is>
          <t>e3_volfine2_B0, e3_volfine2_B1</t>
        </is>
      </c>
      <c r="P424" s="3" t="n">
        <v>7.496</v>
      </c>
      <c r="Q424" s="2" t="inlineStr">
        <is>
          <t>lasers</t>
        </is>
      </c>
    </row>
    <row r="425">
      <c r="A425" s="2" t="inlineStr">
        <is>
          <t>2026-10-15 02:22</t>
        </is>
      </c>
      <c r="B425" s="2" t="inlineStr">
        <is>
          <t>8a17da4 +modifs</t>
        </is>
      </c>
      <c r="C425" s="2" t="inlineStr">
        <is>
          <t>17. Lasers : volutes, 2e octave de pres (volfine=1, portee -1)</t>
        </is>
      </c>
      <c r="D425" s="2" t="inlineStr">
        <is>
          <t>adaptive=0, volfine=1, volfinelod=-1, immobile, banc rapide, 14 cas</t>
        </is>
      </c>
      <c r="E425" s="2" t="n">
        <v>2</v>
      </c>
      <c r="F425" s="2" t="inlineStr">
        <is>
          <t>L2 cones 200 x 32 segments / public</t>
        </is>
      </c>
      <c r="G425" s="3" t="n">
        <v>19.63</v>
      </c>
      <c r="H425" s="4">
        <f>IF(G425&gt;0,1000/G425,"")</f>
        <v/>
      </c>
      <c r="I425" s="3" t="n">
        <v>18.675</v>
      </c>
      <c r="J425" s="3" t="n">
        <v>16.5</v>
      </c>
      <c r="K425" s="3" t="n">
        <v>0.838</v>
      </c>
      <c r="L425" s="3" t="n">
        <v>0.661</v>
      </c>
      <c r="M425" s="3" t="n"/>
      <c r="N425" s="2" t="n">
        <v>0</v>
      </c>
      <c r="O425" s="2" t="inlineStr">
        <is>
          <t>e3_volfine2_B0, e3_volfine2_B1</t>
        </is>
      </c>
      <c r="P425" s="3" t="n">
        <v>12.936</v>
      </c>
      <c r="Q425" s="2" t="inlineStr">
        <is>
          <t>lasers</t>
        </is>
      </c>
    </row>
    <row r="426">
      <c r="A426" s="2" t="inlineStr">
        <is>
          <t>2026-10-15 02:22</t>
        </is>
      </c>
      <c r="B426" s="2" t="inlineStr">
        <is>
          <t>8a17da4 +modifs</t>
        </is>
      </c>
      <c r="C426" s="2" t="inlineStr">
        <is>
          <t>17. Lasers : volutes, 2e octave de pres (volfine=1, portee -1)</t>
        </is>
      </c>
      <c r="D426" s="2" t="inlineStr">
        <is>
          <t>adaptive=0, volfine=1, volfinelod=-1, immobile, banc rapide, 14 cas</t>
        </is>
      </c>
      <c r="E426" s="2" t="n">
        <v>2</v>
      </c>
      <c r="F426" s="2" t="inlineStr">
        <is>
          <t>L2 cones 200 x 32 segments / scene</t>
        </is>
      </c>
      <c r="G426" s="3" t="n">
        <v>19.37</v>
      </c>
      <c r="H426" s="4">
        <f>IF(G426&gt;0,1000/G426,"")</f>
        <v/>
      </c>
      <c r="I426" s="3" t="n">
        <v>18.52</v>
      </c>
      <c r="J426" s="3" t="n">
        <v>16.79</v>
      </c>
      <c r="K426" s="3" t="n">
        <v>0.732</v>
      </c>
      <c r="L426" s="3" t="n">
        <v>0.623</v>
      </c>
      <c r="M426" s="3" t="n"/>
      <c r="N426" s="2" t="n">
        <v>0</v>
      </c>
      <c r="O426" s="2" t="inlineStr">
        <is>
          <t>e3_volfine2_B0, e3_volfine2_B1</t>
        </is>
      </c>
      <c r="P426" s="3" t="n">
        <v>12.753</v>
      </c>
      <c r="Q426" s="2" t="inlineStr">
        <is>
          <t>lasers</t>
        </is>
      </c>
    </row>
    <row r="427">
      <c r="A427" s="2" t="inlineStr">
        <is>
          <t>2026-10-15 02:22</t>
        </is>
      </c>
      <c r="B427" s="2" t="inlineStr">
        <is>
          <t>8a17da4 +modifs</t>
        </is>
      </c>
      <c r="C427" s="2" t="inlineStr">
        <is>
          <t>17. Lasers : volutes, 2e octave de pres (volfine=1, portee -1)</t>
        </is>
      </c>
      <c r="D427" s="2" t="inlineStr">
        <is>
          <t>adaptive=0, volfine=1, volfinelod=-1, immobile, banc rapide, 14 cas</t>
        </is>
      </c>
      <c r="E427" s="2" t="n">
        <v>2</v>
      </c>
      <c r="F427" s="2" t="inlineStr">
        <is>
          <t>L3 camera dans les nappes</t>
        </is>
      </c>
      <c r="G427" s="3" t="n">
        <v>15.07</v>
      </c>
      <c r="H427" s="4">
        <f>IF(G427&gt;0,1000/G427,"")</f>
        <v/>
      </c>
      <c r="I427" s="3" t="n">
        <v>14.305</v>
      </c>
      <c r="J427" s="3" t="n">
        <v>12.925</v>
      </c>
      <c r="K427" s="3" t="n">
        <v>0.859</v>
      </c>
      <c r="L427" s="3" t="n">
        <v>0.674</v>
      </c>
      <c r="M427" s="3" t="n"/>
      <c r="N427" s="2" t="n">
        <v>0</v>
      </c>
      <c r="O427" s="2" t="inlineStr">
        <is>
          <t>e3_volfine2_B0, e3_volfine2_B1</t>
        </is>
      </c>
      <c r="P427" s="3" t="n">
        <v>8.885999999999999</v>
      </c>
      <c r="Q427" s="2" t="inlineStr">
        <is>
          <t>lasers</t>
        </is>
      </c>
    </row>
    <row r="428">
      <c r="A428" s="2" t="inlineStr">
        <is>
          <t>2026-10-15 02:22</t>
        </is>
      </c>
      <c r="B428" s="2" t="inlineStr">
        <is>
          <t>8a17da4 +modifs</t>
        </is>
      </c>
      <c r="C428" s="2" t="inlineStr">
        <is>
          <t>17. Lasers : volutes, 2e octave de pres (volfine=1, portee -1)</t>
        </is>
      </c>
      <c r="D428" s="2" t="inlineStr">
        <is>
          <t>adaptive=0, volfine=1, volfinelod=-1, immobile, banc rapide, 14 cas</t>
        </is>
      </c>
      <c r="E428" s="2" t="n">
        <v>2</v>
      </c>
      <c r="F428" s="2" t="inlineStr">
        <is>
          <t>L4 200 x 8 traits separes / public</t>
        </is>
      </c>
      <c r="G428" s="3" t="n">
        <v>8.015000000000001</v>
      </c>
      <c r="H428" s="4">
        <f>IF(G428&gt;0,1000/G428,"")</f>
        <v/>
      </c>
      <c r="I428" s="3" t="n">
        <v>6.355</v>
      </c>
      <c r="J428" s="3" t="n">
        <v>5.05</v>
      </c>
      <c r="K428" s="3" t="n">
        <v>0.844</v>
      </c>
      <c r="L428" s="3" t="n">
        <v>0.649</v>
      </c>
      <c r="M428" s="3" t="n"/>
      <c r="N428" s="2" t="n">
        <v>0</v>
      </c>
      <c r="O428" s="2" t="inlineStr">
        <is>
          <t>e3_volfine2_B0, e3_volfine2_B1</t>
        </is>
      </c>
      <c r="P428" s="3" t="n">
        <v>1.62</v>
      </c>
      <c r="Q428" s="2" t="inlineStr">
        <is>
          <t>lasers</t>
        </is>
      </c>
    </row>
    <row r="429">
      <c r="A429" s="2" t="inlineStr">
        <is>
          <t>2026-10-15 02:22</t>
        </is>
      </c>
      <c r="B429" s="2" t="inlineStr">
        <is>
          <t>8a17da4 +modifs</t>
        </is>
      </c>
      <c r="C429" s="2" t="inlineStr">
        <is>
          <t>17. Lasers : volutes, 2e octave de pres (volfine=1, portee -1)</t>
        </is>
      </c>
      <c r="D429" s="2" t="inlineStr">
        <is>
          <t>adaptive=0, volfine=1, volfinelod=-1, immobile, banc rapide, 14 cas</t>
        </is>
      </c>
      <c r="E429" s="2" t="n">
        <v>2</v>
      </c>
      <c r="F429" s="2" t="inlineStr">
        <is>
          <t>L5 nappes en gros plan, fumee epaisse</t>
        </is>
      </c>
      <c r="G429" s="3" t="n">
        <v>15.17</v>
      </c>
      <c r="H429" s="4">
        <f>IF(G429&gt;0,1000/G429,"")</f>
        <v/>
      </c>
      <c r="I429" s="3" t="n">
        <v>14.515</v>
      </c>
      <c r="J429" s="3" t="n">
        <v>12.815</v>
      </c>
      <c r="K429" s="3" t="n">
        <v>0.903</v>
      </c>
      <c r="L429" s="3" t="n">
        <v>0.6850000000000001</v>
      </c>
      <c r="M429" s="3" t="n"/>
      <c r="N429" s="2" t="n">
        <v>0</v>
      </c>
      <c r="O429" s="2" t="inlineStr">
        <is>
          <t>e3_volfine2_B0, e3_volfine2_B1</t>
        </is>
      </c>
      <c r="P429" s="3" t="n">
        <v>9.119999999999999</v>
      </c>
      <c r="Q429" s="2" t="inlineStr">
        <is>
          <t>lasers</t>
        </is>
      </c>
    </row>
    <row r="430">
      <c r="A430" s="2" t="inlineStr">
        <is>
          <t>2026-10-15 02:22</t>
        </is>
      </c>
      <c r="B430" s="2" t="inlineStr">
        <is>
          <t>8a17da4 +modifs</t>
        </is>
      </c>
      <c r="C430" s="2" t="inlineStr">
        <is>
          <t>17. Lasers : volutes, 2e octave de pres (volfine=1, portee -1)</t>
        </is>
      </c>
      <c r="D430" s="2" t="inlineStr">
        <is>
          <t>adaptive=0, volfine=1, volfinelod=-1, immobile, banc rapide, 14 cas</t>
        </is>
      </c>
      <c r="E430" s="2" t="n">
        <v>2</v>
      </c>
      <c r="F430" s="2" t="inlineStr">
        <is>
          <t>L6 traits vers le sol et les obstacles / public</t>
        </is>
      </c>
      <c r="G430" s="3" t="n">
        <v>16.995</v>
      </c>
      <c r="H430" s="4">
        <f>IF(G430&gt;0,1000/G430,"")</f>
        <v/>
      </c>
      <c r="I430" s="3" t="n">
        <v>15.99</v>
      </c>
      <c r="J430" s="3" t="n">
        <v>14.485</v>
      </c>
      <c r="K430" s="3" t="n">
        <v>0.843</v>
      </c>
      <c r="L430" s="3" t="n">
        <v>0.673</v>
      </c>
      <c r="M430" s="3" t="n"/>
      <c r="N430" s="2" t="n">
        <v>0</v>
      </c>
      <c r="O430" s="2" t="inlineStr">
        <is>
          <t>e3_volfine2_B0, e3_volfine2_B1</t>
        </is>
      </c>
      <c r="P430" s="3" t="n">
        <v>10.915</v>
      </c>
      <c r="Q430" s="2" t="inlineStr">
        <is>
          <t>lasers</t>
        </is>
      </c>
    </row>
    <row r="431">
      <c r="A431" s="2" t="inlineStr">
        <is>
          <t>2026-10-15 02:22</t>
        </is>
      </c>
      <c r="B431" s="2" t="inlineStr">
        <is>
          <t>8a17da4 +modifs</t>
        </is>
      </c>
      <c r="C431" s="2" t="inlineStr">
        <is>
          <t>17. Lasers : volutes, 2e octave de pres (volfine=1, portee -1)</t>
        </is>
      </c>
      <c r="D431" s="2" t="inlineStr">
        <is>
          <t>adaptive=0, volfine=1, volfinelod=-1, immobile, banc rapide, 14 cas</t>
        </is>
      </c>
      <c r="E431" s="2" t="n">
        <v>2</v>
      </c>
      <c r="F431" s="2" t="inlineStr">
        <is>
          <t>M1 100 lyres + 100 lasers / public</t>
        </is>
      </c>
      <c r="G431" s="3" t="n">
        <v>12.705</v>
      </c>
      <c r="H431" s="4">
        <f>IF(G431&gt;0,1000/G431,"")</f>
        <v/>
      </c>
      <c r="I431" s="3" t="n">
        <v>11.685</v>
      </c>
      <c r="J431" s="3" t="n">
        <v>11.005</v>
      </c>
      <c r="K431" s="3" t="n">
        <v>1.393</v>
      </c>
      <c r="L431" s="3" t="n">
        <v>1.433</v>
      </c>
      <c r="M431" s="3" t="n"/>
      <c r="N431" s="2" t="n">
        <v>49</v>
      </c>
      <c r="O431" s="2" t="inlineStr">
        <is>
          <t>e3_volfine2_B0, e3_volfine2_B1</t>
        </is>
      </c>
      <c r="P431" s="3" t="n">
        <v>4.929</v>
      </c>
      <c r="Q431" s="2" t="inlineStr">
        <is>
          <t>lasers</t>
        </is>
      </c>
    </row>
    <row r="432">
      <c r="A432" s="2" t="inlineStr">
        <is>
          <t>2026-10-15 02:22</t>
        </is>
      </c>
      <c r="B432" s="2" t="inlineStr">
        <is>
          <t>8a17da4 +modifs</t>
        </is>
      </c>
      <c r="C432" s="2" t="inlineStr">
        <is>
          <t>17. Lasers : volutes, 2e octave de pres (volfine=1, portee -1)</t>
        </is>
      </c>
      <c r="D432" s="2" t="inlineStr">
        <is>
          <t>adaptive=0, volfine=1, volfinelod=-1, immobile, banc rapide, 14 cas</t>
        </is>
      </c>
      <c r="E432" s="2" t="n">
        <v>2</v>
      </c>
      <c r="F432" s="2" t="inlineStr">
        <is>
          <t>M1 100 lyres + 100 lasers / scene</t>
        </is>
      </c>
      <c r="G432" s="3" t="n">
        <v>12.3</v>
      </c>
      <c r="H432" s="4">
        <f>IF(G432&gt;0,1000/G432,"")</f>
        <v/>
      </c>
      <c r="I432" s="3" t="n">
        <v>11.34</v>
      </c>
      <c r="J432" s="3" t="n">
        <v>9.630000000000001</v>
      </c>
      <c r="K432" s="3" t="n">
        <v>1.26</v>
      </c>
      <c r="L432" s="3" t="n">
        <v>1.389</v>
      </c>
      <c r="M432" s="3" t="n"/>
      <c r="N432" s="2" t="n">
        <v>49</v>
      </c>
      <c r="O432" s="2" t="inlineStr">
        <is>
          <t>e3_volfine2_B0, e3_volfine2_B1</t>
        </is>
      </c>
      <c r="P432" s="3" t="n">
        <v>4.039</v>
      </c>
      <c r="Q432" s="2" t="inlineStr">
        <is>
          <t>lasers</t>
        </is>
      </c>
    </row>
    <row r="433">
      <c r="A433" s="2" t="inlineStr">
        <is>
          <t>2026-10-15 02:22</t>
        </is>
      </c>
      <c r="B433" s="2" t="inlineStr">
        <is>
          <t>8a17da4 +modifs</t>
        </is>
      </c>
      <c r="C433" s="2" t="inlineStr">
        <is>
          <t>17. Lasers : volutes, 2e octave de pres (volfine=1, portee -1)</t>
        </is>
      </c>
      <c r="D433" s="2" t="inlineStr">
        <is>
          <t>adaptive=0, volfine=1, volfinelod=-1, immobile, banc rapide, 14 cas</t>
        </is>
      </c>
      <c r="E433" s="2" t="n">
        <v>2</v>
      </c>
      <c r="F433" s="2" t="inlineStr">
        <is>
          <t>M1 100 lyres + 100 lasers / sous les trusses</t>
        </is>
      </c>
      <c r="G433" s="3" t="n">
        <v>12.38</v>
      </c>
      <c r="H433" s="4">
        <f>IF(G433&gt;0,1000/G433,"")</f>
        <v/>
      </c>
      <c r="I433" s="3" t="n">
        <v>11.53</v>
      </c>
      <c r="J433" s="3" t="n">
        <v>10.615</v>
      </c>
      <c r="K433" s="3" t="n">
        <v>1.598</v>
      </c>
      <c r="L433" s="3" t="n">
        <v>1.293</v>
      </c>
      <c r="M433" s="3" t="n"/>
      <c r="N433" s="2" t="n">
        <v>49</v>
      </c>
      <c r="O433" s="2" t="inlineStr">
        <is>
          <t>e3_volfine2_B0, e3_volfine2_B1</t>
        </is>
      </c>
      <c r="P433" s="3" t="n">
        <v>3.691</v>
      </c>
      <c r="Q433" s="2" t="inlineStr">
        <is>
          <t>lasers</t>
        </is>
      </c>
    </row>
    <row r="434">
      <c r="A434" s="2" t="inlineStr">
        <is>
          <t>2026-10-15 02:22</t>
        </is>
      </c>
      <c r="B434" s="2" t="inlineStr">
        <is>
          <t>8a17da4 +modifs</t>
        </is>
      </c>
      <c r="C434" s="2" t="inlineStr">
        <is>
          <t>17. Lasers : volutes, 2e octave de pres (volfine=1, portee -1)</t>
        </is>
      </c>
      <c r="D434" s="2" t="inlineStr">
        <is>
          <t>adaptive=0, volfine=1, volfinelod=-1, immobile, banc rapide, 14 cas</t>
        </is>
      </c>
      <c r="E434" s="2" t="n">
        <v>2</v>
      </c>
      <c r="F434" s="2" t="inlineStr">
        <is>
          <t>sans lasers (scene seule) / public</t>
        </is>
      </c>
      <c r="G434" s="3" t="n">
        <v>5.53</v>
      </c>
      <c r="H434" s="4">
        <f>IF(G434&gt;0,1000/G434,"")</f>
        <v/>
      </c>
      <c r="I434" s="3" t="n">
        <v>4.075</v>
      </c>
      <c r="J434" s="3" t="n">
        <v>2.89</v>
      </c>
      <c r="K434" s="3" t="n">
        <v>0.8</v>
      </c>
      <c r="L434" s="3" t="n">
        <v>0.663</v>
      </c>
      <c r="M434" s="3" t="n"/>
      <c r="N434" s="2" t="n">
        <v>0</v>
      </c>
      <c r="O434" s="2" t="inlineStr">
        <is>
          <t>e3_volfine2_B0, e3_volfine2_B1</t>
        </is>
      </c>
      <c r="P434" s="3" t="n"/>
      <c r="Q434" s="2" t="inlineStr">
        <is>
          <t>lasers</t>
        </is>
      </c>
    </row>
    <row r="435">
      <c r="A435" s="2" t="inlineStr">
        <is>
          <t>2026-10-15 02:22</t>
        </is>
      </c>
      <c r="B435" s="2" t="inlineStr">
        <is>
          <t>8a17da4 +modifs</t>
        </is>
      </c>
      <c r="C435" s="2" t="inlineStr">
        <is>
          <t>17. Lasers : volutes, 2e octave de pres (volfine=1, portee -1)</t>
        </is>
      </c>
      <c r="D435" s="2" t="inlineStr">
        <is>
          <t>adaptive=0, volfine=1, volfinelod=-1, immobile, banc rapide, 14 cas</t>
        </is>
      </c>
      <c r="E435" s="2" t="n">
        <v>2</v>
      </c>
      <c r="F435" s="2" t="inlineStr">
        <is>
          <t>L7 programmeur : formes, degrades, effets / public</t>
        </is>
      </c>
      <c r="G435" s="3" t="n">
        <v>27.355</v>
      </c>
      <c r="H435" s="4">
        <f>IF(G435&gt;0,1000/G435,"")</f>
        <v/>
      </c>
      <c r="I435" s="3" t="n">
        <v>26.205</v>
      </c>
      <c r="J435" s="3" t="n">
        <v>25.385</v>
      </c>
      <c r="K435" s="3" t="n">
        <v>0.865</v>
      </c>
      <c r="L435" s="3" t="n">
        <v>0.677</v>
      </c>
      <c r="M435" s="3" t="n"/>
      <c r="N435" s="2" t="n">
        <v>0</v>
      </c>
      <c r="O435" s="2" t="inlineStr">
        <is>
          <t>e3_volfine2_B0, e3_volfine2_B1</t>
        </is>
      </c>
      <c r="P435" s="3" t="n">
        <v>20.596</v>
      </c>
      <c r="Q435" s="2" t="inlineStr">
        <is>
          <t>lasers</t>
        </is>
      </c>
    </row>
    <row r="436">
      <c r="A436" s="2" t="inlineStr">
        <is>
          <t>2026-10-15 02:50</t>
        </is>
      </c>
      <c r="B436" s="2" t="inlineStr">
        <is>
          <t>8a17da4 +modifs</t>
        </is>
      </c>
      <c r="C436" s="2" t="inlineStr">
        <is>
          <t>18. Lasers : variantes du shader, tout coupe (variante 0)</t>
        </is>
      </c>
      <c r="D436" s="2" t="inlineStr">
        <is>
          <t>adaptive=0, laserfog=0, laserphase=0, volutes=0, immobile, banc rapide, 5 cas</t>
        </is>
      </c>
      <c r="E436" s="2" t="n">
        <v>2</v>
      </c>
      <c r="F436" s="2" t="inlineStr">
        <is>
          <t>L1 eventails 200 x 1000 traits / public</t>
        </is>
      </c>
      <c r="G436" s="3" t="n">
        <v>12.155</v>
      </c>
      <c r="H436" s="4">
        <f>IF(G436&gt;0,1000/G436,"")</f>
        <v/>
      </c>
      <c r="I436" s="3" t="n">
        <v>11.27</v>
      </c>
      <c r="J436" s="3" t="n">
        <v>10.265</v>
      </c>
      <c r="K436" s="3" t="n">
        <v>0.525</v>
      </c>
      <c r="L436" s="3" t="n">
        <v>0.553</v>
      </c>
      <c r="M436" s="3" t="n"/>
      <c r="N436" s="2" t="n">
        <v>0</v>
      </c>
      <c r="O436" s="2" t="inlineStr">
        <is>
          <t>e3_off2_B0, e3_off2_B1</t>
        </is>
      </c>
      <c r="P436" s="3" t="n">
        <v>7.079</v>
      </c>
      <c r="Q436" s="2" t="inlineStr">
        <is>
          <t>lasers</t>
        </is>
      </c>
    </row>
    <row r="437">
      <c r="A437" s="2" t="inlineStr">
        <is>
          <t>2026-10-15 02:50</t>
        </is>
      </c>
      <c r="B437" s="2" t="inlineStr">
        <is>
          <t>8a17da4 +modifs</t>
        </is>
      </c>
      <c r="C437" s="2" t="inlineStr">
        <is>
          <t>18. Lasers : variantes du shader, tout coupe (variante 0)</t>
        </is>
      </c>
      <c r="D437" s="2" t="inlineStr">
        <is>
          <t>adaptive=0, laserfog=0, laserphase=0, volutes=0, immobile, banc rapide, 5 cas</t>
        </is>
      </c>
      <c r="E437" s="2" t="n">
        <v>2</v>
      </c>
      <c r="F437" s="2" t="inlineStr">
        <is>
          <t>L2 cones 200 x 32 segments / public</t>
        </is>
      </c>
      <c r="G437" s="3" t="n">
        <v>14.3</v>
      </c>
      <c r="H437" s="4">
        <f>IF(G437&gt;0,1000/G437,"")</f>
        <v/>
      </c>
      <c r="I437" s="3" t="n">
        <v>13.385</v>
      </c>
      <c r="J437" s="3" t="n">
        <v>13.115</v>
      </c>
      <c r="K437" s="3" t="n">
        <v>0.528</v>
      </c>
      <c r="L437" s="3" t="n">
        <v>0.546</v>
      </c>
      <c r="M437" s="3" t="n"/>
      <c r="N437" s="2" t="n">
        <v>0</v>
      </c>
      <c r="O437" s="2" t="inlineStr">
        <is>
          <t>e3_off2_B0, e3_off2_B1</t>
        </is>
      </c>
      <c r="P437" s="3" t="n">
        <v>9.778</v>
      </c>
      <c r="Q437" s="2" t="inlineStr">
        <is>
          <t>lasers</t>
        </is>
      </c>
    </row>
    <row r="438">
      <c r="A438" s="2" t="inlineStr">
        <is>
          <t>2026-10-15 02:50</t>
        </is>
      </c>
      <c r="B438" s="2" t="inlineStr">
        <is>
          <t>8a17da4 +modifs</t>
        </is>
      </c>
      <c r="C438" s="2" t="inlineStr">
        <is>
          <t>18. Lasers : variantes du shader, tout coupe (variante 0)</t>
        </is>
      </c>
      <c r="D438" s="2" t="inlineStr">
        <is>
          <t>adaptive=0, laserfog=0, laserphase=0, volutes=0, immobile, banc rapide, 5 cas</t>
        </is>
      </c>
      <c r="E438" s="2" t="n">
        <v>2</v>
      </c>
      <c r="F438" s="2" t="inlineStr">
        <is>
          <t>L3 camera dans les nappes</t>
        </is>
      </c>
      <c r="G438" s="3" t="n">
        <v>11.8</v>
      </c>
      <c r="H438" s="4">
        <f>IF(G438&gt;0,1000/G438,"")</f>
        <v/>
      </c>
      <c r="I438" s="3" t="n">
        <v>10.89</v>
      </c>
      <c r="J438" s="3" t="n">
        <v>9.505000000000001</v>
      </c>
      <c r="K438" s="3" t="n">
        <v>0.62</v>
      </c>
      <c r="L438" s="3" t="n">
        <v>0.6889999999999999</v>
      </c>
      <c r="M438" s="3" t="n"/>
      <c r="N438" s="2" t="n">
        <v>0</v>
      </c>
      <c r="O438" s="2" t="inlineStr">
        <is>
          <t>e3_off2_B0, e3_off2_B1</t>
        </is>
      </c>
      <c r="P438" s="3" t="n">
        <v>6.623</v>
      </c>
      <c r="Q438" s="2" t="inlineStr">
        <is>
          <t>lasers</t>
        </is>
      </c>
    </row>
    <row r="439">
      <c r="A439" s="2" t="inlineStr">
        <is>
          <t>2026-10-15 02:50</t>
        </is>
      </c>
      <c r="B439" s="2" t="inlineStr">
        <is>
          <t>8a17da4 +modifs</t>
        </is>
      </c>
      <c r="C439" s="2" t="inlineStr">
        <is>
          <t>18. Lasers : variantes du shader, tout coupe (variante 0)</t>
        </is>
      </c>
      <c r="D439" s="2" t="inlineStr">
        <is>
          <t>adaptive=0, laserfog=0, laserphase=0, volutes=0, immobile, banc rapide, 5 cas</t>
        </is>
      </c>
      <c r="E439" s="2" t="n">
        <v>2</v>
      </c>
      <c r="F439" s="2" t="inlineStr">
        <is>
          <t>L4 200 x 8 traits separes / public</t>
        </is>
      </c>
      <c r="G439" s="3" t="n">
        <v>7.46</v>
      </c>
      <c r="H439" s="4">
        <f>IF(G439&gt;0,1000/G439,"")</f>
        <v/>
      </c>
      <c r="I439" s="3" t="n">
        <v>5.665</v>
      </c>
      <c r="J439" s="3" t="n">
        <v>4.67</v>
      </c>
      <c r="K439" s="3" t="n">
        <v>0.654</v>
      </c>
      <c r="L439" s="3" t="n">
        <v>0.5659999999999999</v>
      </c>
      <c r="M439" s="3" t="n"/>
      <c r="N439" s="2" t="n">
        <v>0</v>
      </c>
      <c r="O439" s="2" t="inlineStr">
        <is>
          <t>e3_off2_B0, e3_off2_B1</t>
        </is>
      </c>
      <c r="P439" s="3" t="n">
        <v>1.209</v>
      </c>
      <c r="Q439" s="2" t="inlineStr">
        <is>
          <t>lasers</t>
        </is>
      </c>
    </row>
    <row r="440">
      <c r="A440" s="2" t="inlineStr">
        <is>
          <t>2026-10-15 02:50</t>
        </is>
      </c>
      <c r="B440" s="2" t="inlineStr">
        <is>
          <t>8a17da4 +modifs</t>
        </is>
      </c>
      <c r="C440" s="2" t="inlineStr">
        <is>
          <t>18. Lasers : variantes du shader, tout coupe (variante 0)</t>
        </is>
      </c>
      <c r="D440" s="2" t="inlineStr">
        <is>
          <t>adaptive=0, laserfog=0, laserphase=0, volutes=0, immobile, banc rapide, 5 cas</t>
        </is>
      </c>
      <c r="E440" s="2" t="n">
        <v>2</v>
      </c>
      <c r="F440" s="2" t="inlineStr">
        <is>
          <t>M1 100 lyres + 100 lasers / public</t>
        </is>
      </c>
      <c r="G440" s="3" t="n">
        <v>11.345</v>
      </c>
      <c r="H440" s="4">
        <f>IF(G440&gt;0,1000/G440,"")</f>
        <v/>
      </c>
      <c r="I440" s="3" t="n">
        <v>10.185</v>
      </c>
      <c r="J440" s="3" t="n">
        <v>9.609999999999999</v>
      </c>
      <c r="K440" s="3" t="n">
        <v>1.212</v>
      </c>
      <c r="L440" s="3" t="n">
        <v>1.387</v>
      </c>
      <c r="M440" s="3" t="n"/>
      <c r="N440" s="2" t="n">
        <v>49</v>
      </c>
      <c r="O440" s="2" t="inlineStr">
        <is>
          <t>e3_off2_B0, e3_off2_B1</t>
        </is>
      </c>
      <c r="P440" s="3" t="n">
        <v>4.244</v>
      </c>
      <c r="Q440" s="2" t="inlineStr">
        <is>
          <t>lasers</t>
        </is>
      </c>
    </row>
    <row r="441">
      <c r="A441" s="2" t="inlineStr">
        <is>
          <t>2026-10-15 02:50</t>
        </is>
      </c>
      <c r="B441" s="2" t="inlineStr">
        <is>
          <t>8a17da4 +modifs</t>
        </is>
      </c>
      <c r="C441" s="2" t="inlineStr">
        <is>
          <t>18. Lasers : variante 1 (fumee de la piece, 2 lobes)</t>
        </is>
      </c>
      <c r="D441" s="2" t="inlineStr">
        <is>
          <t>adaptive=0, volutes=0, immobile, banc rapide, 14 cas</t>
        </is>
      </c>
      <c r="E441" s="2" t="n">
        <v>2</v>
      </c>
      <c r="F441" s="2" t="inlineStr">
        <is>
          <t>L1 eventails 200 x 1000 traits / public</t>
        </is>
      </c>
      <c r="G441" s="3" t="n">
        <v>12.735</v>
      </c>
      <c r="H441" s="4">
        <f>IF(G441&gt;0,1000/G441,"")</f>
        <v/>
      </c>
      <c r="I441" s="3" t="n">
        <v>11.695</v>
      </c>
      <c r="J441" s="3" t="n">
        <v>10.29</v>
      </c>
      <c r="K441" s="3" t="n">
        <v>0.803</v>
      </c>
      <c r="L441" s="3" t="n">
        <v>0.637</v>
      </c>
      <c r="M441" s="3" t="n"/>
      <c r="N441" s="2" t="n">
        <v>0</v>
      </c>
      <c r="O441" s="2" t="inlineStr">
        <is>
          <t>e3_vol20_A0, e3_vol20_A1</t>
        </is>
      </c>
      <c r="P441" s="3" t="n">
        <v>6.877</v>
      </c>
      <c r="Q441" s="2" t="inlineStr">
        <is>
          <t>lasers</t>
        </is>
      </c>
    </row>
    <row r="442">
      <c r="A442" s="2" t="inlineStr">
        <is>
          <t>2026-10-15 02:50</t>
        </is>
      </c>
      <c r="B442" s="2" t="inlineStr">
        <is>
          <t>8a17da4 +modifs</t>
        </is>
      </c>
      <c r="C442" s="2" t="inlineStr">
        <is>
          <t>18. Lasers : variante 1 (fumee de la piece, 2 lobes)</t>
        </is>
      </c>
      <c r="D442" s="2" t="inlineStr">
        <is>
          <t>adaptive=0, volutes=0, immobile, banc rapide, 14 cas</t>
        </is>
      </c>
      <c r="E442" s="2" t="n">
        <v>2</v>
      </c>
      <c r="F442" s="2" t="inlineStr">
        <is>
          <t>L1 eventails 200 x 1000 traits / scene</t>
        </is>
      </c>
      <c r="G442" s="3" t="n">
        <v>12.295</v>
      </c>
      <c r="H442" s="4">
        <f>IF(G442&gt;0,1000/G442,"")</f>
        <v/>
      </c>
      <c r="I442" s="3" t="n">
        <v>11.275</v>
      </c>
      <c r="J442" s="3" t="n">
        <v>9.25</v>
      </c>
      <c r="K442" s="3" t="n">
        <v>0.802</v>
      </c>
      <c r="L442" s="3" t="n">
        <v>0.6840000000000001</v>
      </c>
      <c r="M442" s="3" t="n"/>
      <c r="N442" s="2" t="n">
        <v>0</v>
      </c>
      <c r="O442" s="2" t="inlineStr">
        <is>
          <t>e3_vol20_A0, e3_vol20_A1</t>
        </is>
      </c>
      <c r="P442" s="3" t="n">
        <v>5.639</v>
      </c>
      <c r="Q442" s="2" t="inlineStr">
        <is>
          <t>lasers</t>
        </is>
      </c>
    </row>
    <row r="443">
      <c r="A443" s="2" t="inlineStr">
        <is>
          <t>2026-10-15 02:50</t>
        </is>
      </c>
      <c r="B443" s="2" t="inlineStr">
        <is>
          <t>8a17da4 +modifs</t>
        </is>
      </c>
      <c r="C443" s="2" t="inlineStr">
        <is>
          <t>18. Lasers : variante 1 (fumee de la piece, 2 lobes)</t>
        </is>
      </c>
      <c r="D443" s="2" t="inlineStr">
        <is>
          <t>adaptive=0, volutes=0, immobile, banc rapide, 14 cas</t>
        </is>
      </c>
      <c r="E443" s="2" t="n">
        <v>2</v>
      </c>
      <c r="F443" s="2" t="inlineStr">
        <is>
          <t>L1 eventails 200 x 1000 traits / sous les trusses</t>
        </is>
      </c>
      <c r="G443" s="3" t="n">
        <v>12.38</v>
      </c>
      <c r="H443" s="4">
        <f>IF(G443&gt;0,1000/G443,"")</f>
        <v/>
      </c>
      <c r="I443" s="3" t="n">
        <v>11.255</v>
      </c>
      <c r="J443" s="3" t="n">
        <v>8.945</v>
      </c>
      <c r="K443" s="3" t="n">
        <v>0.776</v>
      </c>
      <c r="L443" s="3" t="n">
        <v>0.736</v>
      </c>
      <c r="M443" s="3" t="n"/>
      <c r="N443" s="2" t="n">
        <v>0</v>
      </c>
      <c r="O443" s="2" t="inlineStr">
        <is>
          <t>e3_vol20_A0, e3_vol20_A1</t>
        </is>
      </c>
      <c r="P443" s="3" t="n">
        <v>5.343</v>
      </c>
      <c r="Q443" s="2" t="inlineStr">
        <is>
          <t>lasers</t>
        </is>
      </c>
    </row>
    <row r="444">
      <c r="A444" s="2" t="inlineStr">
        <is>
          <t>2026-10-15 02:50</t>
        </is>
      </c>
      <c r="B444" s="2" t="inlineStr">
        <is>
          <t>8a17da4 +modifs</t>
        </is>
      </c>
      <c r="C444" s="2" t="inlineStr">
        <is>
          <t>18. Lasers : variante 1 (fumee de la piece, 2 lobes)</t>
        </is>
      </c>
      <c r="D444" s="2" t="inlineStr">
        <is>
          <t>adaptive=0, volutes=0, immobile, banc rapide, 14 cas</t>
        </is>
      </c>
      <c r="E444" s="2" t="n">
        <v>2</v>
      </c>
      <c r="F444" s="2" t="inlineStr">
        <is>
          <t>L2 cones 200 x 32 segments / public</t>
        </is>
      </c>
      <c r="G444" s="3" t="n">
        <v>15.8</v>
      </c>
      <c r="H444" s="4">
        <f>IF(G444&gt;0,1000/G444,"")</f>
        <v/>
      </c>
      <c r="I444" s="3" t="n">
        <v>14.9</v>
      </c>
      <c r="J444" s="3" t="n">
        <v>12.94</v>
      </c>
      <c r="K444" s="3" t="n">
        <v>0.799</v>
      </c>
      <c r="L444" s="3" t="n">
        <v>0.636</v>
      </c>
      <c r="M444" s="3" t="n"/>
      <c r="N444" s="2" t="n">
        <v>0</v>
      </c>
      <c r="O444" s="2" t="inlineStr">
        <is>
          <t>e3_vol20_A0, e3_vol20_A1</t>
        </is>
      </c>
      <c r="P444" s="3" t="n">
        <v>9.486000000000001</v>
      </c>
      <c r="Q444" s="2" t="inlineStr">
        <is>
          <t>lasers</t>
        </is>
      </c>
    </row>
    <row r="445">
      <c r="A445" s="2" t="inlineStr">
        <is>
          <t>2026-10-15 02:50</t>
        </is>
      </c>
      <c r="B445" s="2" t="inlineStr">
        <is>
          <t>8a17da4 +modifs</t>
        </is>
      </c>
      <c r="C445" s="2" t="inlineStr">
        <is>
          <t>18. Lasers : variante 1 (fumee de la piece, 2 lobes)</t>
        </is>
      </c>
      <c r="D445" s="2" t="inlineStr">
        <is>
          <t>adaptive=0, volutes=0, immobile, banc rapide, 14 cas</t>
        </is>
      </c>
      <c r="E445" s="2" t="n">
        <v>2</v>
      </c>
      <c r="F445" s="2" t="inlineStr">
        <is>
          <t>L2 cones 200 x 32 segments / scene</t>
        </is>
      </c>
      <c r="G445" s="3" t="n">
        <v>15.56</v>
      </c>
      <c r="H445" s="4">
        <f>IF(G445&gt;0,1000/G445,"")</f>
        <v/>
      </c>
      <c r="I445" s="3" t="n">
        <v>14.885</v>
      </c>
      <c r="J445" s="3" t="n">
        <v>12.68</v>
      </c>
      <c r="K445" s="3" t="n">
        <v>0.788</v>
      </c>
      <c r="L445" s="3" t="n">
        <v>0.675</v>
      </c>
      <c r="M445" s="3" t="n"/>
      <c r="N445" s="2" t="n">
        <v>0</v>
      </c>
      <c r="O445" s="2" t="inlineStr">
        <is>
          <t>e3_vol20_A0, e3_vol20_A1</t>
        </is>
      </c>
      <c r="P445" s="3" t="n">
        <v>9.266999999999999</v>
      </c>
      <c r="Q445" s="2" t="inlineStr">
        <is>
          <t>lasers</t>
        </is>
      </c>
    </row>
    <row r="446">
      <c r="A446" s="2" t="inlineStr">
        <is>
          <t>2026-10-15 02:50</t>
        </is>
      </c>
      <c r="B446" s="2" t="inlineStr">
        <is>
          <t>8a17da4 +modifs</t>
        </is>
      </c>
      <c r="C446" s="2" t="inlineStr">
        <is>
          <t>18. Lasers : variante 1 (fumee de la piece, 2 lobes)</t>
        </is>
      </c>
      <c r="D446" s="2" t="inlineStr">
        <is>
          <t>adaptive=0, volutes=0, immobile, banc rapide, 14 cas</t>
        </is>
      </c>
      <c r="E446" s="2" t="n">
        <v>2</v>
      </c>
      <c r="F446" s="2" t="inlineStr">
        <is>
          <t>L3 camera dans les nappes</t>
        </is>
      </c>
      <c r="G446" s="3" t="n">
        <v>12.275</v>
      </c>
      <c r="H446" s="4">
        <f>IF(G446&gt;0,1000/G446,"")</f>
        <v/>
      </c>
      <c r="I446" s="3" t="n">
        <v>11.35</v>
      </c>
      <c r="J446" s="3" t="n">
        <v>10.48</v>
      </c>
      <c r="K446" s="3" t="n">
        <v>0.753</v>
      </c>
      <c r="L446" s="3" t="n">
        <v>0.712</v>
      </c>
      <c r="M446" s="3" t="n"/>
      <c r="N446" s="2" t="n">
        <v>0</v>
      </c>
      <c r="O446" s="2" t="inlineStr">
        <is>
          <t>e3_vol20_A0, e3_vol20_A1</t>
        </is>
      </c>
      <c r="P446" s="3" t="n">
        <v>6.25</v>
      </c>
      <c r="Q446" s="2" t="inlineStr">
        <is>
          <t>lasers</t>
        </is>
      </c>
    </row>
    <row r="447">
      <c r="A447" s="2" t="inlineStr">
        <is>
          <t>2026-10-15 02:50</t>
        </is>
      </c>
      <c r="B447" s="2" t="inlineStr">
        <is>
          <t>8a17da4 +modifs</t>
        </is>
      </c>
      <c r="C447" s="2" t="inlineStr">
        <is>
          <t>18. Lasers : variante 1 (fumee de la piece, 2 lobes)</t>
        </is>
      </c>
      <c r="D447" s="2" t="inlineStr">
        <is>
          <t>adaptive=0, volutes=0, immobile, banc rapide, 14 cas</t>
        </is>
      </c>
      <c r="E447" s="2" t="n">
        <v>2</v>
      </c>
      <c r="F447" s="2" t="inlineStr">
        <is>
          <t>L4 200 x 8 traits separes / public</t>
        </is>
      </c>
      <c r="G447" s="3" t="n">
        <v>7.72</v>
      </c>
      <c r="H447" s="4">
        <f>IF(G447&gt;0,1000/G447,"")</f>
        <v/>
      </c>
      <c r="I447" s="3" t="n">
        <v>6.065</v>
      </c>
      <c r="J447" s="3" t="n">
        <v>4.345</v>
      </c>
      <c r="K447" s="3" t="n">
        <v>0.79</v>
      </c>
      <c r="L447" s="3" t="n">
        <v>0.639</v>
      </c>
      <c r="M447" s="3" t="n"/>
      <c r="N447" s="2" t="n">
        <v>0</v>
      </c>
      <c r="O447" s="2" t="inlineStr">
        <is>
          <t>e3_vol20_A0, e3_vol20_A1</t>
        </is>
      </c>
      <c r="P447" s="3" t="n">
        <v>1.348</v>
      </c>
      <c r="Q447" s="2" t="inlineStr">
        <is>
          <t>lasers</t>
        </is>
      </c>
    </row>
    <row r="448">
      <c r="A448" s="2" t="inlineStr">
        <is>
          <t>2026-10-15 02:50</t>
        </is>
      </c>
      <c r="B448" s="2" t="inlineStr">
        <is>
          <t>8a17da4 +modifs</t>
        </is>
      </c>
      <c r="C448" s="2" t="inlineStr">
        <is>
          <t>18. Lasers : variante 1 (fumee de la piece, 2 lobes)</t>
        </is>
      </c>
      <c r="D448" s="2" t="inlineStr">
        <is>
          <t>adaptive=0, volutes=0, immobile, banc rapide, 14 cas</t>
        </is>
      </c>
      <c r="E448" s="2" t="n">
        <v>2</v>
      </c>
      <c r="F448" s="2" t="inlineStr">
        <is>
          <t>L5 nappes en gros plan, fumee epaisse</t>
        </is>
      </c>
      <c r="G448" s="3" t="n">
        <v>12.375</v>
      </c>
      <c r="H448" s="4">
        <f>IF(G448&gt;0,1000/G448,"")</f>
        <v/>
      </c>
      <c r="I448" s="3" t="n">
        <v>11.19</v>
      </c>
      <c r="J448" s="3" t="n">
        <v>9.685</v>
      </c>
      <c r="K448" s="3" t="n">
        <v>0.826</v>
      </c>
      <c r="L448" s="3" t="n">
        <v>0.635</v>
      </c>
      <c r="M448" s="3" t="n"/>
      <c r="N448" s="2" t="n">
        <v>0</v>
      </c>
      <c r="O448" s="2" t="inlineStr">
        <is>
          <t>e3_vol20_A0, e3_vol20_A1</t>
        </is>
      </c>
      <c r="P448" s="3" t="n">
        <v>6.325</v>
      </c>
      <c r="Q448" s="2" t="inlineStr">
        <is>
          <t>lasers</t>
        </is>
      </c>
    </row>
    <row r="449">
      <c r="A449" s="2" t="inlineStr">
        <is>
          <t>2026-10-15 02:50</t>
        </is>
      </c>
      <c r="B449" s="2" t="inlineStr">
        <is>
          <t>8a17da4 +modifs</t>
        </is>
      </c>
      <c r="C449" s="2" t="inlineStr">
        <is>
          <t>18. Lasers : variante 1 (fumee de la piece, 2 lobes)</t>
        </is>
      </c>
      <c r="D449" s="2" t="inlineStr">
        <is>
          <t>adaptive=0, volutes=0, immobile, banc rapide, 14 cas</t>
        </is>
      </c>
      <c r="E449" s="2" t="n">
        <v>2</v>
      </c>
      <c r="F449" s="2" t="inlineStr">
        <is>
          <t>L6 traits vers le sol et les obstacles / public</t>
        </is>
      </c>
      <c r="G449" s="3" t="n">
        <v>14.385</v>
      </c>
      <c r="H449" s="4">
        <f>IF(G449&gt;0,1000/G449,"")</f>
        <v/>
      </c>
      <c r="I449" s="3" t="n">
        <v>13.545</v>
      </c>
      <c r="J449" s="3" t="n">
        <v>11.81</v>
      </c>
      <c r="K449" s="3" t="n">
        <v>0.8110000000000001</v>
      </c>
      <c r="L449" s="3" t="n">
        <v>0.655</v>
      </c>
      <c r="M449" s="3" t="n"/>
      <c r="N449" s="2" t="n">
        <v>0</v>
      </c>
      <c r="O449" s="2" t="inlineStr">
        <is>
          <t>e3_vol20_A0, e3_vol20_A1</t>
        </is>
      </c>
      <c r="P449" s="3" t="n">
        <v>8.377000000000001</v>
      </c>
      <c r="Q449" s="2" t="inlineStr">
        <is>
          <t>lasers</t>
        </is>
      </c>
    </row>
    <row r="450">
      <c r="A450" s="2" t="inlineStr">
        <is>
          <t>2026-10-15 02:50</t>
        </is>
      </c>
      <c r="B450" s="2" t="inlineStr">
        <is>
          <t>8a17da4 +modifs</t>
        </is>
      </c>
      <c r="C450" s="2" t="inlineStr">
        <is>
          <t>18. Lasers : variante 1 (fumee de la piece, 2 lobes)</t>
        </is>
      </c>
      <c r="D450" s="2" t="inlineStr">
        <is>
          <t>adaptive=0, volutes=0, immobile, banc rapide, 14 cas</t>
        </is>
      </c>
      <c r="E450" s="2" t="n">
        <v>2</v>
      </c>
      <c r="F450" s="2" t="inlineStr">
        <is>
          <t>M1 100 lyres + 100 lasers / public</t>
        </is>
      </c>
      <c r="G450" s="3" t="n">
        <v>12.38</v>
      </c>
      <c r="H450" s="4">
        <f>IF(G450&gt;0,1000/G450,"")</f>
        <v/>
      </c>
      <c r="I450" s="3" t="n">
        <v>11.315</v>
      </c>
      <c r="J450" s="3" t="n">
        <v>9.185</v>
      </c>
      <c r="K450" s="3" t="n">
        <v>1.27</v>
      </c>
      <c r="L450" s="3" t="n">
        <v>1.377</v>
      </c>
      <c r="M450" s="3" t="n"/>
      <c r="N450" s="2" t="n">
        <v>49</v>
      </c>
      <c r="O450" s="2" t="inlineStr">
        <is>
          <t>e3_vol20_A0, e3_vol20_A1</t>
        </is>
      </c>
      <c r="P450" s="3" t="n">
        <v>3.771</v>
      </c>
      <c r="Q450" s="2" t="inlineStr">
        <is>
          <t>lasers</t>
        </is>
      </c>
    </row>
    <row r="451">
      <c r="A451" s="2" t="inlineStr">
        <is>
          <t>2026-10-15 02:50</t>
        </is>
      </c>
      <c r="B451" s="2" t="inlineStr">
        <is>
          <t>8a17da4 +modifs</t>
        </is>
      </c>
      <c r="C451" s="2" t="inlineStr">
        <is>
          <t>18. Lasers : variante 1 (fumee de la piece, 2 lobes)</t>
        </is>
      </c>
      <c r="D451" s="2" t="inlineStr">
        <is>
          <t>adaptive=0, volutes=0, immobile, banc rapide, 14 cas</t>
        </is>
      </c>
      <c r="E451" s="2" t="n">
        <v>2</v>
      </c>
      <c r="F451" s="2" t="inlineStr">
        <is>
          <t>M1 100 lyres + 100 lasers / scene</t>
        </is>
      </c>
      <c r="G451" s="3" t="n">
        <v>11.79</v>
      </c>
      <c r="H451" s="4">
        <f>IF(G451&gt;0,1000/G451,"")</f>
        <v/>
      </c>
      <c r="I451" s="3" t="n">
        <v>10.77</v>
      </c>
      <c r="J451" s="3" t="n">
        <v>8.515000000000001</v>
      </c>
      <c r="K451" s="3" t="n">
        <v>1.488</v>
      </c>
      <c r="L451" s="3" t="n">
        <v>1.363</v>
      </c>
      <c r="M451" s="3" t="n"/>
      <c r="N451" s="2" t="n">
        <v>49</v>
      </c>
      <c r="O451" s="2" t="inlineStr">
        <is>
          <t>e3_vol20_A0, e3_vol20_A1</t>
        </is>
      </c>
      <c r="P451" s="3" t="n">
        <v>3.032</v>
      </c>
      <c r="Q451" s="2" t="inlineStr">
        <is>
          <t>lasers</t>
        </is>
      </c>
    </row>
    <row r="452">
      <c r="A452" s="2" t="inlineStr">
        <is>
          <t>2026-10-15 02:50</t>
        </is>
      </c>
      <c r="B452" s="2" t="inlineStr">
        <is>
          <t>8a17da4 +modifs</t>
        </is>
      </c>
      <c r="C452" s="2" t="inlineStr">
        <is>
          <t>18. Lasers : variante 1 (fumee de la piece, 2 lobes)</t>
        </is>
      </c>
      <c r="D452" s="2" t="inlineStr">
        <is>
          <t>adaptive=0, volutes=0, immobile, banc rapide, 14 cas</t>
        </is>
      </c>
      <c r="E452" s="2" t="n">
        <v>2</v>
      </c>
      <c r="F452" s="2" t="inlineStr">
        <is>
          <t>M1 100 lyres + 100 lasers / sous les trusses</t>
        </is>
      </c>
      <c r="G452" s="3" t="n">
        <v>10.47</v>
      </c>
      <c r="H452" s="4">
        <f>IF(G452&gt;0,1000/G452,"")</f>
        <v/>
      </c>
      <c r="I452" s="3" t="n">
        <v>8.904999999999999</v>
      </c>
      <c r="J452" s="3" t="n">
        <v>7.795</v>
      </c>
      <c r="K452" s="3" t="n">
        <v>0.9409999999999999</v>
      </c>
      <c r="L452" s="3" t="n">
        <v>1.285</v>
      </c>
      <c r="M452" s="3" t="n"/>
      <c r="N452" s="2" t="n">
        <v>49</v>
      </c>
      <c r="O452" s="2" t="inlineStr">
        <is>
          <t>e3_vol20_A0, e3_vol20_A1</t>
        </is>
      </c>
      <c r="P452" s="3" t="n">
        <v>2.806</v>
      </c>
      <c r="Q452" s="2" t="inlineStr">
        <is>
          <t>lasers</t>
        </is>
      </c>
    </row>
    <row r="453">
      <c r="A453" s="2" t="inlineStr">
        <is>
          <t>2026-10-15 02:50</t>
        </is>
      </c>
      <c r="B453" s="2" t="inlineStr">
        <is>
          <t>8a17da4 +modifs</t>
        </is>
      </c>
      <c r="C453" s="2" t="inlineStr">
        <is>
          <t>18. Lasers : variante 1 (fumee de la piece, 2 lobes)</t>
        </is>
      </c>
      <c r="D453" s="2" t="inlineStr">
        <is>
          <t>adaptive=0, volutes=0, immobile, banc rapide, 14 cas</t>
        </is>
      </c>
      <c r="E453" s="2" t="n">
        <v>2</v>
      </c>
      <c r="F453" s="2" t="inlineStr">
        <is>
          <t>sans lasers (scene seule) / public</t>
        </is>
      </c>
      <c r="G453" s="3" t="n">
        <v>5.175</v>
      </c>
      <c r="H453" s="4">
        <f>IF(G453&gt;0,1000/G453,"")</f>
        <v/>
      </c>
      <c r="I453" s="3" t="n">
        <v>3.495</v>
      </c>
      <c r="J453" s="3" t="n">
        <v>2.615</v>
      </c>
      <c r="K453" s="3" t="n">
        <v>0.795</v>
      </c>
      <c r="L453" s="3" t="n">
        <v>0.66</v>
      </c>
      <c r="M453" s="3" t="n"/>
      <c r="N453" s="2" t="n">
        <v>0</v>
      </c>
      <c r="O453" s="2" t="inlineStr">
        <is>
          <t>e3_vol20_A0, e3_vol20_A1</t>
        </is>
      </c>
      <c r="P453" s="3" t="n"/>
      <c r="Q453" s="2" t="inlineStr">
        <is>
          <t>lasers</t>
        </is>
      </c>
    </row>
    <row r="454">
      <c r="A454" s="2" t="inlineStr">
        <is>
          <t>2026-10-15 02:50</t>
        </is>
      </c>
      <c r="B454" s="2" t="inlineStr">
        <is>
          <t>8a17da4 +modifs</t>
        </is>
      </c>
      <c r="C454" s="2" t="inlineStr">
        <is>
          <t>18. Lasers : variante 1 (fumee de la piece, 2 lobes)</t>
        </is>
      </c>
      <c r="D454" s="2" t="inlineStr">
        <is>
          <t>adaptive=0, volutes=0, immobile, banc rapide, 14 cas</t>
        </is>
      </c>
      <c r="E454" s="2" t="n">
        <v>2</v>
      </c>
      <c r="F454" s="2" t="inlineStr">
        <is>
          <t>L7 programmeur : formes, degrades, effets / public</t>
        </is>
      </c>
      <c r="G454" s="3" t="n">
        <v>21.495</v>
      </c>
      <c r="H454" s="4">
        <f>IF(G454&gt;0,1000/G454,"")</f>
        <v/>
      </c>
      <c r="I454" s="3" t="n">
        <v>20.61</v>
      </c>
      <c r="J454" s="3" t="n">
        <v>19.65</v>
      </c>
      <c r="K454" s="3" t="n">
        <v>0.827</v>
      </c>
      <c r="L454" s="3" t="n">
        <v>0.646</v>
      </c>
      <c r="M454" s="3" t="n"/>
      <c r="N454" s="2" t="n">
        <v>0</v>
      </c>
      <c r="O454" s="2" t="inlineStr">
        <is>
          <t>e3_vol20_A0, e3_vol20_A1</t>
        </is>
      </c>
      <c r="P454" s="3" t="n">
        <v>15.394</v>
      </c>
      <c r="Q454" s="2" t="inlineStr">
        <is>
          <t>lasers</t>
        </is>
      </c>
    </row>
    <row r="455">
      <c r="A455" s="2" t="inlineStr">
        <is>
          <t>2026-10-15 02:50</t>
        </is>
      </c>
      <c r="B455" s="2" t="inlineStr">
        <is>
          <t>8a17da4 +modifs</t>
        </is>
      </c>
      <c r="C455" s="2" t="inlineStr">
        <is>
          <t>18. Lasers : variante 3 (+ volutes, 2 octaves)</t>
        </is>
      </c>
      <c r="D455" s="2" t="inlineStr">
        <is>
          <t>adaptive=0, reglages par defaut, immobile, banc rapide, 14 cas</t>
        </is>
      </c>
      <c r="E455" s="2" t="n">
        <v>2</v>
      </c>
      <c r="F455" s="2" t="inlineStr">
        <is>
          <t>L1 eventails 200 x 1000 traits / public</t>
        </is>
      </c>
      <c r="G455" s="3" t="n">
        <v>14.48</v>
      </c>
      <c r="H455" s="4">
        <f>IF(G455&gt;0,1000/G455,"")</f>
        <v/>
      </c>
      <c r="I455" s="3" t="n">
        <v>13.795</v>
      </c>
      <c r="J455" s="3" t="n">
        <v>11.765</v>
      </c>
      <c r="K455" s="3" t="n">
        <v>0.8070000000000001</v>
      </c>
      <c r="L455" s="3" t="n">
        <v>0.645</v>
      </c>
      <c r="M455" s="3" t="n"/>
      <c r="N455" s="2" t="n">
        <v>0</v>
      </c>
      <c r="O455" s="2" t="inlineStr">
        <is>
          <t>e3_vol20_B0, e3_vol20_B1</t>
        </is>
      </c>
      <c r="P455" s="3" t="n">
        <v>8.659000000000001</v>
      </c>
      <c r="Q455" s="2" t="inlineStr">
        <is>
          <t>lasers</t>
        </is>
      </c>
    </row>
    <row r="456">
      <c r="A456" s="2" t="inlineStr">
        <is>
          <t>2026-10-15 02:50</t>
        </is>
      </c>
      <c r="B456" s="2" t="inlineStr">
        <is>
          <t>8a17da4 +modifs</t>
        </is>
      </c>
      <c r="C456" s="2" t="inlineStr">
        <is>
          <t>18. Lasers : variante 3 (+ volutes, 2 octaves)</t>
        </is>
      </c>
      <c r="D456" s="2" t="inlineStr">
        <is>
          <t>adaptive=0, reglages par defaut, immobile, banc rapide, 14 cas</t>
        </is>
      </c>
      <c r="E456" s="2" t="n">
        <v>2</v>
      </c>
      <c r="F456" s="2" t="inlineStr">
        <is>
          <t>L1 eventails 200 x 1000 traits / scene</t>
        </is>
      </c>
      <c r="G456" s="3" t="n">
        <v>12.83</v>
      </c>
      <c r="H456" s="4">
        <f>IF(G456&gt;0,1000/G456,"")</f>
        <v/>
      </c>
      <c r="I456" s="3" t="n">
        <v>11.86</v>
      </c>
      <c r="J456" s="3" t="n">
        <v>10.735</v>
      </c>
      <c r="K456" s="3" t="n">
        <v>0.792</v>
      </c>
      <c r="L456" s="3" t="n">
        <v>0.704</v>
      </c>
      <c r="M456" s="3" t="n"/>
      <c r="N456" s="2" t="n">
        <v>0</v>
      </c>
      <c r="O456" s="2" t="inlineStr">
        <is>
          <t>e3_vol20_B0, e3_vol20_B1</t>
        </is>
      </c>
      <c r="P456" s="3" t="n">
        <v>7.469</v>
      </c>
      <c r="Q456" s="2" t="inlineStr">
        <is>
          <t>lasers</t>
        </is>
      </c>
    </row>
    <row r="457">
      <c r="A457" s="2" t="inlineStr">
        <is>
          <t>2026-10-15 02:50</t>
        </is>
      </c>
      <c r="B457" s="2" t="inlineStr">
        <is>
          <t>8a17da4 +modifs</t>
        </is>
      </c>
      <c r="C457" s="2" t="inlineStr">
        <is>
          <t>18. Lasers : variante 3 (+ volutes, 2 octaves)</t>
        </is>
      </c>
      <c r="D457" s="2" t="inlineStr">
        <is>
          <t>adaptive=0, reglages par defaut, immobile, banc rapide, 14 cas</t>
        </is>
      </c>
      <c r="E457" s="2" t="n">
        <v>2</v>
      </c>
      <c r="F457" s="2" t="inlineStr">
        <is>
          <t>L1 eventails 200 x 1000 traits / sous les trusses</t>
        </is>
      </c>
      <c r="G457" s="3" t="n">
        <v>12.56</v>
      </c>
      <c r="H457" s="4">
        <f>IF(G457&gt;0,1000/G457,"")</f>
        <v/>
      </c>
      <c r="I457" s="3" t="n">
        <v>11.565</v>
      </c>
      <c r="J457" s="3" t="n">
        <v>10.845</v>
      </c>
      <c r="K457" s="3" t="n">
        <v>0.712</v>
      </c>
      <c r="L457" s="3" t="n">
        <v>0.765</v>
      </c>
      <c r="M457" s="3" t="n"/>
      <c r="N457" s="2" t="n">
        <v>0</v>
      </c>
      <c r="O457" s="2" t="inlineStr">
        <is>
          <t>e3_vol20_B0, e3_vol20_B1</t>
        </is>
      </c>
      <c r="P457" s="3" t="n">
        <v>6.903</v>
      </c>
      <c r="Q457" s="2" t="inlineStr">
        <is>
          <t>lasers</t>
        </is>
      </c>
    </row>
    <row r="458">
      <c r="A458" s="2" t="inlineStr">
        <is>
          <t>2026-10-15 02:50</t>
        </is>
      </c>
      <c r="B458" s="2" t="inlineStr">
        <is>
          <t>8a17da4 +modifs</t>
        </is>
      </c>
      <c r="C458" s="2" t="inlineStr">
        <is>
          <t>18. Lasers : variante 3 (+ volutes, 2 octaves)</t>
        </is>
      </c>
      <c r="D458" s="2" t="inlineStr">
        <is>
          <t>adaptive=0, reglages par defaut, immobile, banc rapide, 14 cas</t>
        </is>
      </c>
      <c r="E458" s="2" t="n">
        <v>2</v>
      </c>
      <c r="F458" s="2" t="inlineStr">
        <is>
          <t>L2 cones 200 x 32 segments / public</t>
        </is>
      </c>
      <c r="G458" s="3" t="n">
        <v>18.76</v>
      </c>
      <c r="H458" s="4">
        <f>IF(G458&gt;0,1000/G458,"")</f>
        <v/>
      </c>
      <c r="I458" s="3" t="n">
        <v>17.84</v>
      </c>
      <c r="J458" s="3" t="n">
        <v>16.16</v>
      </c>
      <c r="K458" s="3" t="n">
        <v>0.829</v>
      </c>
      <c r="L458" s="3" t="n">
        <v>0.581</v>
      </c>
      <c r="M458" s="3" t="n"/>
      <c r="N458" s="2" t="n">
        <v>0</v>
      </c>
      <c r="O458" s="2" t="inlineStr">
        <is>
          <t>e3_vol20_B0, e3_vol20_B1</t>
        </is>
      </c>
      <c r="P458" s="3" t="n">
        <v>12.671</v>
      </c>
      <c r="Q458" s="2" t="inlineStr">
        <is>
          <t>lasers</t>
        </is>
      </c>
    </row>
    <row r="459">
      <c r="A459" s="2" t="inlineStr">
        <is>
          <t>2026-10-15 02:50</t>
        </is>
      </c>
      <c r="B459" s="2" t="inlineStr">
        <is>
          <t>8a17da4 +modifs</t>
        </is>
      </c>
      <c r="C459" s="2" t="inlineStr">
        <is>
          <t>18. Lasers : variante 3 (+ volutes, 2 octaves)</t>
        </is>
      </c>
      <c r="D459" s="2" t="inlineStr">
        <is>
          <t>adaptive=0, reglages par defaut, immobile, banc rapide, 14 cas</t>
        </is>
      </c>
      <c r="E459" s="2" t="n">
        <v>2</v>
      </c>
      <c r="F459" s="2" t="inlineStr">
        <is>
          <t>L2 cones 200 x 32 segments / scene</t>
        </is>
      </c>
      <c r="G459" s="3" t="n">
        <v>19.25</v>
      </c>
      <c r="H459" s="4">
        <f>IF(G459&gt;0,1000/G459,"")</f>
        <v/>
      </c>
      <c r="I459" s="3" t="n">
        <v>18.44</v>
      </c>
      <c r="J459" s="3" t="n">
        <v>16.765</v>
      </c>
      <c r="K459" s="3" t="n">
        <v>0.825</v>
      </c>
      <c r="L459" s="3" t="n">
        <v>0.74</v>
      </c>
      <c r="M459" s="3" t="n"/>
      <c r="N459" s="2" t="n">
        <v>0</v>
      </c>
      <c r="O459" s="2" t="inlineStr">
        <is>
          <t>e3_vol20_B0, e3_vol20_B1</t>
        </is>
      </c>
      <c r="P459" s="3" t="n">
        <v>12.56</v>
      </c>
      <c r="Q459" s="2" t="inlineStr">
        <is>
          <t>lasers</t>
        </is>
      </c>
    </row>
    <row r="460">
      <c r="A460" s="2" t="inlineStr">
        <is>
          <t>2026-10-15 02:50</t>
        </is>
      </c>
      <c r="B460" s="2" t="inlineStr">
        <is>
          <t>8a17da4 +modifs</t>
        </is>
      </c>
      <c r="C460" s="2" t="inlineStr">
        <is>
          <t>18. Lasers : variante 3 (+ volutes, 2 octaves)</t>
        </is>
      </c>
      <c r="D460" s="2" t="inlineStr">
        <is>
          <t>adaptive=0, reglages par defaut, immobile, banc rapide, 14 cas</t>
        </is>
      </c>
      <c r="E460" s="2" t="n">
        <v>2</v>
      </c>
      <c r="F460" s="2" t="inlineStr">
        <is>
          <t>L3 camera dans les nappes</t>
        </is>
      </c>
      <c r="G460" s="3" t="n">
        <v>14.475</v>
      </c>
      <c r="H460" s="4">
        <f>IF(G460&gt;0,1000/G460,"")</f>
        <v/>
      </c>
      <c r="I460" s="3" t="n">
        <v>13.95</v>
      </c>
      <c r="J460" s="3" t="n">
        <v>12.085</v>
      </c>
      <c r="K460" s="3" t="n">
        <v>0.822</v>
      </c>
      <c r="L460" s="3" t="n">
        <v>0.728</v>
      </c>
      <c r="M460" s="3" t="n"/>
      <c r="N460" s="2" t="n">
        <v>0</v>
      </c>
      <c r="O460" s="2" t="inlineStr">
        <is>
          <t>e3_vol20_B0, e3_vol20_B1</t>
        </is>
      </c>
      <c r="P460" s="3" t="n">
        <v>8.518000000000001</v>
      </c>
      <c r="Q460" s="2" t="inlineStr">
        <is>
          <t>lasers</t>
        </is>
      </c>
    </row>
    <row r="461">
      <c r="A461" s="2" t="inlineStr">
        <is>
          <t>2026-10-15 02:50</t>
        </is>
      </c>
      <c r="B461" s="2" t="inlineStr">
        <is>
          <t>8a17da4 +modifs</t>
        </is>
      </c>
      <c r="C461" s="2" t="inlineStr">
        <is>
          <t>18. Lasers : variante 3 (+ volutes, 2 octaves)</t>
        </is>
      </c>
      <c r="D461" s="2" t="inlineStr">
        <is>
          <t>adaptive=0, reglages par defaut, immobile, banc rapide, 14 cas</t>
        </is>
      </c>
      <c r="E461" s="2" t="n">
        <v>2</v>
      </c>
      <c r="F461" s="2" t="inlineStr">
        <is>
          <t>L4 200 x 8 traits separes / public</t>
        </is>
      </c>
      <c r="G461" s="3" t="n">
        <v>7.76</v>
      </c>
      <c r="H461" s="4">
        <f>IF(G461&gt;0,1000/G461,"")</f>
        <v/>
      </c>
      <c r="I461" s="3" t="n">
        <v>6.125</v>
      </c>
      <c r="J461" s="3" t="n">
        <v>4.925</v>
      </c>
      <c r="K461" s="3" t="n">
        <v>0.796</v>
      </c>
      <c r="L461" s="3" t="n">
        <v>0.671</v>
      </c>
      <c r="M461" s="3" t="n"/>
      <c r="N461" s="2" t="n">
        <v>0</v>
      </c>
      <c r="O461" s="2" t="inlineStr">
        <is>
          <t>e3_vol20_B0, e3_vol20_B1</t>
        </is>
      </c>
      <c r="P461" s="3" t="n">
        <v>1.588</v>
      </c>
      <c r="Q461" s="2" t="inlineStr">
        <is>
          <t>lasers</t>
        </is>
      </c>
    </row>
    <row r="462">
      <c r="A462" s="2" t="inlineStr">
        <is>
          <t>2026-10-15 02:50</t>
        </is>
      </c>
      <c r="B462" s="2" t="inlineStr">
        <is>
          <t>8a17da4 +modifs</t>
        </is>
      </c>
      <c r="C462" s="2" t="inlineStr">
        <is>
          <t>18. Lasers : variante 3 (+ volutes, 2 octaves)</t>
        </is>
      </c>
      <c r="D462" s="2" t="inlineStr">
        <is>
          <t>adaptive=0, reglages par defaut, immobile, banc rapide, 14 cas</t>
        </is>
      </c>
      <c r="E462" s="2" t="n">
        <v>2</v>
      </c>
      <c r="F462" s="2" t="inlineStr">
        <is>
          <t>L5 nappes en gros plan, fumee epaisse</t>
        </is>
      </c>
      <c r="G462" s="3" t="n">
        <v>14.745</v>
      </c>
      <c r="H462" s="4">
        <f>IF(G462&gt;0,1000/G462,"")</f>
        <v/>
      </c>
      <c r="I462" s="3" t="n">
        <v>13.855</v>
      </c>
      <c r="J462" s="3" t="n">
        <v>12.375</v>
      </c>
      <c r="K462" s="3" t="n">
        <v>0.919</v>
      </c>
      <c r="L462" s="3" t="n">
        <v>0.6919999999999999</v>
      </c>
      <c r="M462" s="3" t="n"/>
      <c r="N462" s="2" t="n">
        <v>0</v>
      </c>
      <c r="O462" s="2" t="inlineStr">
        <is>
          <t>e3_vol20_B0, e3_vol20_B1</t>
        </is>
      </c>
      <c r="P462" s="3" t="n">
        <v>8.57</v>
      </c>
      <c r="Q462" s="2" t="inlineStr">
        <is>
          <t>lasers</t>
        </is>
      </c>
    </row>
    <row r="463">
      <c r="A463" s="2" t="inlineStr">
        <is>
          <t>2026-10-15 02:50</t>
        </is>
      </c>
      <c r="B463" s="2" t="inlineStr">
        <is>
          <t>8a17da4 +modifs</t>
        </is>
      </c>
      <c r="C463" s="2" t="inlineStr">
        <is>
          <t>18. Lasers : variante 3 (+ volutes, 2 octaves)</t>
        </is>
      </c>
      <c r="D463" s="2" t="inlineStr">
        <is>
          <t>adaptive=0, reglages par defaut, immobile, banc rapide, 14 cas</t>
        </is>
      </c>
      <c r="E463" s="2" t="n">
        <v>2</v>
      </c>
      <c r="F463" s="2" t="inlineStr">
        <is>
          <t>L6 traits vers le sol et les obstacles / public</t>
        </is>
      </c>
      <c r="G463" s="3" t="n">
        <v>16.69</v>
      </c>
      <c r="H463" s="4">
        <f>IF(G463&gt;0,1000/G463,"")</f>
        <v/>
      </c>
      <c r="I463" s="3" t="n">
        <v>15.695</v>
      </c>
      <c r="J463" s="3" t="n">
        <v>15.005</v>
      </c>
      <c r="K463" s="3" t="n">
        <v>0.9389999999999999</v>
      </c>
      <c r="L463" s="3" t="n">
        <v>0.716</v>
      </c>
      <c r="M463" s="3" t="n"/>
      <c r="N463" s="2" t="n">
        <v>0</v>
      </c>
      <c r="O463" s="2" t="inlineStr">
        <is>
          <t>e3_vol20_B0, e3_vol20_B1</t>
        </is>
      </c>
      <c r="P463" s="3" t="n">
        <v>11.178</v>
      </c>
      <c r="Q463" s="2" t="inlineStr">
        <is>
          <t>lasers</t>
        </is>
      </c>
    </row>
    <row r="464">
      <c r="A464" s="2" t="inlineStr">
        <is>
          <t>2026-10-15 02:50</t>
        </is>
      </c>
      <c r="B464" s="2" t="inlineStr">
        <is>
          <t>8a17da4 +modifs</t>
        </is>
      </c>
      <c r="C464" s="2" t="inlineStr">
        <is>
          <t>18. Lasers : variante 3 (+ volutes, 2 octaves)</t>
        </is>
      </c>
      <c r="D464" s="2" t="inlineStr">
        <is>
          <t>adaptive=0, reglages par defaut, immobile, banc rapide, 14 cas</t>
        </is>
      </c>
      <c r="E464" s="2" t="n">
        <v>2</v>
      </c>
      <c r="F464" s="2" t="inlineStr">
        <is>
          <t>M1 100 lyres + 100 lasers / public</t>
        </is>
      </c>
      <c r="G464" s="3" t="n">
        <v>12.475</v>
      </c>
      <c r="H464" s="4">
        <f>IF(G464&gt;0,1000/G464,"")</f>
        <v/>
      </c>
      <c r="I464" s="3" t="n">
        <v>11.305</v>
      </c>
      <c r="J464" s="3" t="n">
        <v>10.38</v>
      </c>
      <c r="K464" s="3" t="n">
        <v>1.359</v>
      </c>
      <c r="L464" s="3" t="n">
        <v>1.436</v>
      </c>
      <c r="M464" s="3" t="n"/>
      <c r="N464" s="2" t="n">
        <v>49</v>
      </c>
      <c r="O464" s="2" t="inlineStr">
        <is>
          <t>e3_vol20_B0, e3_vol20_B1</t>
        </is>
      </c>
      <c r="P464" s="3" t="n">
        <v>4.937</v>
      </c>
      <c r="Q464" s="2" t="inlineStr">
        <is>
          <t>lasers</t>
        </is>
      </c>
    </row>
    <row r="465">
      <c r="A465" s="2" t="inlineStr">
        <is>
          <t>2026-10-15 02:50</t>
        </is>
      </c>
      <c r="B465" s="2" t="inlineStr">
        <is>
          <t>8a17da4 +modifs</t>
        </is>
      </c>
      <c r="C465" s="2" t="inlineStr">
        <is>
          <t>18. Lasers : variante 3 (+ volutes, 2 octaves)</t>
        </is>
      </c>
      <c r="D465" s="2" t="inlineStr">
        <is>
          <t>adaptive=0, reglages par defaut, immobile, banc rapide, 14 cas</t>
        </is>
      </c>
      <c r="E465" s="2" t="n">
        <v>2</v>
      </c>
      <c r="F465" s="2" t="inlineStr">
        <is>
          <t>M1 100 lyres + 100 lasers / scene</t>
        </is>
      </c>
      <c r="G465" s="3" t="n">
        <v>12.475</v>
      </c>
      <c r="H465" s="4">
        <f>IF(G465&gt;0,1000/G465,"")</f>
        <v/>
      </c>
      <c r="I465" s="3" t="n">
        <v>11.455</v>
      </c>
      <c r="J465" s="3" t="n">
        <v>9.574999999999999</v>
      </c>
      <c r="K465" s="3" t="n">
        <v>1.236</v>
      </c>
      <c r="L465" s="3" t="n">
        <v>1.417</v>
      </c>
      <c r="M465" s="3" t="n"/>
      <c r="N465" s="2" t="n">
        <v>49</v>
      </c>
      <c r="O465" s="2" t="inlineStr">
        <is>
          <t>e3_vol20_B0, e3_vol20_B1</t>
        </is>
      </c>
      <c r="P465" s="3" t="n">
        <v>3.909</v>
      </c>
      <c r="Q465" s="2" t="inlineStr">
        <is>
          <t>lasers</t>
        </is>
      </c>
    </row>
    <row r="466">
      <c r="A466" s="2" t="inlineStr">
        <is>
          <t>2026-10-15 02:50</t>
        </is>
      </c>
      <c r="B466" s="2" t="inlineStr">
        <is>
          <t>8a17da4 +modifs</t>
        </is>
      </c>
      <c r="C466" s="2" t="inlineStr">
        <is>
          <t>18. Lasers : variante 3 (+ volutes, 2 octaves)</t>
        </is>
      </c>
      <c r="D466" s="2" t="inlineStr">
        <is>
          <t>adaptive=0, reglages par defaut, immobile, banc rapide, 14 cas</t>
        </is>
      </c>
      <c r="E466" s="2" t="n">
        <v>2</v>
      </c>
      <c r="F466" s="2" t="inlineStr">
        <is>
          <t>M1 100 lyres + 100 lasers / sous les trusses</t>
        </is>
      </c>
      <c r="G466" s="3" t="n">
        <v>12</v>
      </c>
      <c r="H466" s="4">
        <f>IF(G466&gt;0,1000/G466,"")</f>
        <v/>
      </c>
      <c r="I466" s="3" t="n">
        <v>10.865</v>
      </c>
      <c r="J466" s="3" t="n">
        <v>8.23</v>
      </c>
      <c r="K466" s="3" t="n">
        <v>0.953</v>
      </c>
      <c r="L466" s="3" t="n">
        <v>1.328</v>
      </c>
      <c r="M466" s="3" t="n"/>
      <c r="N466" s="2" t="n">
        <v>49</v>
      </c>
      <c r="O466" s="2" t="inlineStr">
        <is>
          <t>e3_vol20_B0, e3_vol20_B1</t>
        </is>
      </c>
      <c r="P466" s="3" t="n">
        <v>3.486</v>
      </c>
      <c r="Q466" s="2" t="inlineStr">
        <is>
          <t>lasers</t>
        </is>
      </c>
    </row>
    <row r="467">
      <c r="A467" s="2" t="inlineStr">
        <is>
          <t>2026-10-15 02:50</t>
        </is>
      </c>
      <c r="B467" s="2" t="inlineStr">
        <is>
          <t>8a17da4 +modifs</t>
        </is>
      </c>
      <c r="C467" s="2" t="inlineStr">
        <is>
          <t>18. Lasers : variante 3 (+ volutes, 2 octaves)</t>
        </is>
      </c>
      <c r="D467" s="2" t="inlineStr">
        <is>
          <t>adaptive=0, reglages par defaut, immobile, banc rapide, 14 cas</t>
        </is>
      </c>
      <c r="E467" s="2" t="n">
        <v>2</v>
      </c>
      <c r="F467" s="2" t="inlineStr">
        <is>
          <t>sans lasers (scene seule) / public</t>
        </is>
      </c>
      <c r="G467" s="3" t="n">
        <v>5.205</v>
      </c>
      <c r="H467" s="4">
        <f>IF(G467&gt;0,1000/G467,"")</f>
        <v/>
      </c>
      <c r="I467" s="3" t="n">
        <v>3.595</v>
      </c>
      <c r="J467" s="3" t="n">
        <v>2.595</v>
      </c>
      <c r="K467" s="3" t="n">
        <v>0.783</v>
      </c>
      <c r="L467" s="3" t="n">
        <v>0.671</v>
      </c>
      <c r="M467" s="3" t="n"/>
      <c r="N467" s="2" t="n">
        <v>0</v>
      </c>
      <c r="O467" s="2" t="inlineStr">
        <is>
          <t>e3_vol20_B0, e3_vol20_B1</t>
        </is>
      </c>
      <c r="P467" s="3" t="n"/>
      <c r="Q467" s="2" t="inlineStr">
        <is>
          <t>lasers</t>
        </is>
      </c>
    </row>
    <row r="468">
      <c r="A468" s="2" t="inlineStr">
        <is>
          <t>2026-10-15 02:50</t>
        </is>
      </c>
      <c r="B468" s="2" t="inlineStr">
        <is>
          <t>8a17da4 +modifs</t>
        </is>
      </c>
      <c r="C468" s="2" t="inlineStr">
        <is>
          <t>18. Lasers : variante 3 (+ volutes, 2 octaves)</t>
        </is>
      </c>
      <c r="D468" s="2" t="inlineStr">
        <is>
          <t>adaptive=0, reglages par defaut, immobile, banc rapide, 14 cas</t>
        </is>
      </c>
      <c r="E468" s="2" t="n">
        <v>2</v>
      </c>
      <c r="F468" s="2" t="inlineStr">
        <is>
          <t>L7 programmeur : formes, degrades, effets / public</t>
        </is>
      </c>
      <c r="G468" s="3" t="n">
        <v>26.02</v>
      </c>
      <c r="H468" s="4">
        <f>IF(G468&gt;0,1000/G468,"")</f>
        <v/>
      </c>
      <c r="I468" s="3" t="n">
        <v>25.075</v>
      </c>
      <c r="J468" s="3" t="n">
        <v>24.48</v>
      </c>
      <c r="K468" s="3" t="n">
        <v>0.8179999999999999</v>
      </c>
      <c r="L468" s="3" t="n">
        <v>0.6879999999999999</v>
      </c>
      <c r="M468" s="3" t="n"/>
      <c r="N468" s="2" t="n">
        <v>0</v>
      </c>
      <c r="O468" s="2" t="inlineStr">
        <is>
          <t>e3_vol20_B0, e3_vol20_B1</t>
        </is>
      </c>
      <c r="P468" s="3" t="n">
        <v>20.239</v>
      </c>
      <c r="Q468" s="2" t="inlineStr">
        <is>
          <t>lasers</t>
        </is>
      </c>
    </row>
    <row r="469">
      <c r="A469" s="2" t="inlineStr">
        <is>
          <t>2026-10-15 13:06</t>
        </is>
      </c>
      <c r="B469" s="2" t="inlineStr">
        <is>
          <t>8a17da4 +modifs</t>
        </is>
      </c>
      <c r="C469" s="2" t="inlineStr">
        <is>
          <t>19. Lasers : etape 3 avant (reference)</t>
        </is>
      </c>
      <c r="D469" s="2" t="inlineStr">
        <is>
          <t>adaptive=0, en mouvement, banc rapide, 14 cas</t>
        </is>
      </c>
      <c r="E469" s="2" t="n">
        <v>2</v>
      </c>
      <c r="F469" s="2" t="inlineStr">
        <is>
          <t>L1 eventails 200 x 1000 traits / public</t>
        </is>
      </c>
      <c r="G469" s="3" t="n">
        <v>11.975</v>
      </c>
      <c r="H469" s="4">
        <f>IF(G469&gt;0,1000/G469,"")</f>
        <v/>
      </c>
      <c r="I469" s="3" t="n">
        <v>11.02</v>
      </c>
      <c r="J469" s="3" t="n">
        <v>10.24</v>
      </c>
      <c r="K469" s="3" t="n">
        <v>0.649</v>
      </c>
      <c r="L469" s="3" t="n">
        <v>0.631</v>
      </c>
      <c r="M469" s="3" t="n"/>
      <c r="N469" s="2" t="n">
        <v>0</v>
      </c>
      <c r="O469" s="2" t="inlineStr">
        <is>
          <t>e3_complet_A0, e3_complet_A1</t>
        </is>
      </c>
      <c r="P469" s="3" t="n">
        <v>7.36</v>
      </c>
      <c r="Q469" s="2" t="inlineStr">
        <is>
          <t>lasers</t>
        </is>
      </c>
    </row>
    <row r="470">
      <c r="A470" s="2" t="inlineStr">
        <is>
          <t>2026-10-15 13:06</t>
        </is>
      </c>
      <c r="B470" s="2" t="inlineStr">
        <is>
          <t>8a17da4 +modifs</t>
        </is>
      </c>
      <c r="C470" s="2" t="inlineStr">
        <is>
          <t>19. Lasers : etape 3 avant (reference)</t>
        </is>
      </c>
      <c r="D470" s="2" t="inlineStr">
        <is>
          <t>adaptive=0, en mouvement, banc rapide, 14 cas</t>
        </is>
      </c>
      <c r="E470" s="2" t="n">
        <v>2</v>
      </c>
      <c r="F470" s="2" t="inlineStr">
        <is>
          <t>L1 eventails 200 x 1000 traits / scene</t>
        </is>
      </c>
      <c r="G470" s="3" t="n">
        <v>9.895</v>
      </c>
      <c r="H470" s="4">
        <f>IF(G470&gt;0,1000/G470,"")</f>
        <v/>
      </c>
      <c r="I470" s="3" t="n">
        <v>8.19</v>
      </c>
      <c r="J470" s="3" t="n">
        <v>7.745</v>
      </c>
      <c r="K470" s="3" t="n">
        <v>0.767</v>
      </c>
      <c r="L470" s="3" t="n">
        <v>0.6870000000000001</v>
      </c>
      <c r="M470" s="3" t="n"/>
      <c r="N470" s="2" t="n">
        <v>0</v>
      </c>
      <c r="O470" s="2" t="inlineStr">
        <is>
          <t>e3_complet_A0, e3_complet_A1</t>
        </is>
      </c>
      <c r="P470" s="3" t="n">
        <v>4.865</v>
      </c>
      <c r="Q470" s="2" t="inlineStr">
        <is>
          <t>lasers</t>
        </is>
      </c>
    </row>
    <row r="471">
      <c r="A471" s="2" t="inlineStr">
        <is>
          <t>2026-10-15 13:06</t>
        </is>
      </c>
      <c r="B471" s="2" t="inlineStr">
        <is>
          <t>8a17da4 +modifs</t>
        </is>
      </c>
      <c r="C471" s="2" t="inlineStr">
        <is>
          <t>19. Lasers : etape 3 avant (reference)</t>
        </is>
      </c>
      <c r="D471" s="2" t="inlineStr">
        <is>
          <t>adaptive=0, en mouvement, banc rapide, 14 cas</t>
        </is>
      </c>
      <c r="E471" s="2" t="n">
        <v>2</v>
      </c>
      <c r="F471" s="2" t="inlineStr">
        <is>
          <t>L1 eventails 200 x 1000 traits / sous les trusses</t>
        </is>
      </c>
      <c r="G471" s="3" t="n">
        <v>10.635</v>
      </c>
      <c r="H471" s="4">
        <f>IF(G471&gt;0,1000/G471,"")</f>
        <v/>
      </c>
      <c r="I471" s="3" t="n">
        <v>9.390000000000001</v>
      </c>
      <c r="J471" s="3" t="n">
        <v>8.289999999999999</v>
      </c>
      <c r="K471" s="3" t="n">
        <v>0.679</v>
      </c>
      <c r="L471" s="3" t="n">
        <v>0.779</v>
      </c>
      <c r="M471" s="3" t="n"/>
      <c r="N471" s="2" t="n">
        <v>0</v>
      </c>
      <c r="O471" s="2" t="inlineStr">
        <is>
          <t>e3_complet_A0, e3_complet_A1</t>
        </is>
      </c>
      <c r="P471" s="3" t="n">
        <v>5.322</v>
      </c>
      <c r="Q471" s="2" t="inlineStr">
        <is>
          <t>lasers</t>
        </is>
      </c>
    </row>
    <row r="472">
      <c r="A472" s="2" t="inlineStr">
        <is>
          <t>2026-10-15 13:06</t>
        </is>
      </c>
      <c r="B472" s="2" t="inlineStr">
        <is>
          <t>8a17da4 +modifs</t>
        </is>
      </c>
      <c r="C472" s="2" t="inlineStr">
        <is>
          <t>19. Lasers : etape 3 avant (reference)</t>
        </is>
      </c>
      <c r="D472" s="2" t="inlineStr">
        <is>
          <t>adaptive=0, en mouvement, banc rapide, 14 cas</t>
        </is>
      </c>
      <c r="E472" s="2" t="n">
        <v>2</v>
      </c>
      <c r="F472" s="2" t="inlineStr">
        <is>
          <t>L2 cones 200 x 32 segments / public</t>
        </is>
      </c>
      <c r="G472" s="3" t="n">
        <v>12.405</v>
      </c>
      <c r="H472" s="4">
        <f>IF(G472&gt;0,1000/G472,"")</f>
        <v/>
      </c>
      <c r="I472" s="3" t="n">
        <v>11.535</v>
      </c>
      <c r="J472" s="3" t="n">
        <v>10.94</v>
      </c>
      <c r="K472" s="3" t="n">
        <v>0.774</v>
      </c>
      <c r="L472" s="3" t="n">
        <v>0.642</v>
      </c>
      <c r="M472" s="3" t="n"/>
      <c r="N472" s="2" t="n">
        <v>0</v>
      </c>
      <c r="O472" s="2" t="inlineStr">
        <is>
          <t>e3_complet_A0, e3_complet_A1</t>
        </is>
      </c>
      <c r="P472" s="3" t="n">
        <v>7.957</v>
      </c>
      <c r="Q472" s="2" t="inlineStr">
        <is>
          <t>lasers</t>
        </is>
      </c>
    </row>
    <row r="473">
      <c r="A473" s="2" t="inlineStr">
        <is>
          <t>2026-10-15 13:06</t>
        </is>
      </c>
      <c r="B473" s="2" t="inlineStr">
        <is>
          <t>8a17da4 +modifs</t>
        </is>
      </c>
      <c r="C473" s="2" t="inlineStr">
        <is>
          <t>19. Lasers : etape 3 avant (reference)</t>
        </is>
      </c>
      <c r="D473" s="2" t="inlineStr">
        <is>
          <t>adaptive=0, en mouvement, banc rapide, 14 cas</t>
        </is>
      </c>
      <c r="E473" s="2" t="n">
        <v>2</v>
      </c>
      <c r="F473" s="2" t="inlineStr">
        <is>
          <t>L2 cones 200 x 32 segments / scene</t>
        </is>
      </c>
      <c r="G473" s="3" t="n">
        <v>13.225</v>
      </c>
      <c r="H473" s="4">
        <f>IF(G473&gt;0,1000/G473,"")</f>
        <v/>
      </c>
      <c r="I473" s="3" t="n">
        <v>12.345</v>
      </c>
      <c r="J473" s="3" t="n">
        <v>11.12</v>
      </c>
      <c r="K473" s="3" t="n">
        <v>0.767</v>
      </c>
      <c r="L473" s="3" t="n">
        <v>0.6879999999999999</v>
      </c>
      <c r="M473" s="3" t="n"/>
      <c r="N473" s="2" t="n">
        <v>0</v>
      </c>
      <c r="O473" s="2" t="inlineStr">
        <is>
          <t>e3_complet_A0, e3_complet_A1</t>
        </is>
      </c>
      <c r="P473" s="3" t="n">
        <v>8.196</v>
      </c>
      <c r="Q473" s="2" t="inlineStr">
        <is>
          <t>lasers</t>
        </is>
      </c>
    </row>
    <row r="474">
      <c r="A474" s="2" t="inlineStr">
        <is>
          <t>2026-10-15 13:06</t>
        </is>
      </c>
      <c r="B474" s="2" t="inlineStr">
        <is>
          <t>8a17da4 +modifs</t>
        </is>
      </c>
      <c r="C474" s="2" t="inlineStr">
        <is>
          <t>19. Lasers : etape 3 avant (reference)</t>
        </is>
      </c>
      <c r="D474" s="2" t="inlineStr">
        <is>
          <t>adaptive=0, en mouvement, banc rapide, 14 cas</t>
        </is>
      </c>
      <c r="E474" s="2" t="n">
        <v>2</v>
      </c>
      <c r="F474" s="2" t="inlineStr">
        <is>
          <t>L3 camera dans les nappes</t>
        </is>
      </c>
      <c r="G474" s="3" t="n">
        <v>10.38</v>
      </c>
      <c r="H474" s="4">
        <f>IF(G474&gt;0,1000/G474,"")</f>
        <v/>
      </c>
      <c r="I474" s="3" t="n">
        <v>8.58</v>
      </c>
      <c r="J474" s="3" t="n">
        <v>7.935</v>
      </c>
      <c r="K474" s="3" t="n">
        <v>0.73</v>
      </c>
      <c r="L474" s="3" t="n">
        <v>0.699</v>
      </c>
      <c r="M474" s="3" t="n"/>
      <c r="N474" s="2" t="n">
        <v>0</v>
      </c>
      <c r="O474" s="2" t="inlineStr">
        <is>
          <t>e3_complet_A0, e3_complet_A1</t>
        </is>
      </c>
      <c r="P474" s="3" t="n">
        <v>5.074</v>
      </c>
      <c r="Q474" s="2" t="inlineStr">
        <is>
          <t>lasers</t>
        </is>
      </c>
    </row>
    <row r="475">
      <c r="A475" s="2" t="inlineStr">
        <is>
          <t>2026-10-15 13:06</t>
        </is>
      </c>
      <c r="B475" s="2" t="inlineStr">
        <is>
          <t>8a17da4 +modifs</t>
        </is>
      </c>
      <c r="C475" s="2" t="inlineStr">
        <is>
          <t>19. Lasers : etape 3 avant (reference)</t>
        </is>
      </c>
      <c r="D475" s="2" t="inlineStr">
        <is>
          <t>adaptive=0, en mouvement, banc rapide, 14 cas</t>
        </is>
      </c>
      <c r="E475" s="2" t="n">
        <v>2</v>
      </c>
      <c r="F475" s="2" t="inlineStr">
        <is>
          <t>L4 200 x 8 traits separes / public</t>
        </is>
      </c>
      <c r="G475" s="3" t="n">
        <v>6.27</v>
      </c>
      <c r="H475" s="4">
        <f>IF(G475&gt;0,1000/G475,"")</f>
        <v/>
      </c>
      <c r="I475" s="3" t="n">
        <v>5.165</v>
      </c>
      <c r="J475" s="3" t="n">
        <v>4.225</v>
      </c>
      <c r="K475" s="3" t="n">
        <v>0.774</v>
      </c>
      <c r="L475" s="3" t="n">
        <v>0.645</v>
      </c>
      <c r="M475" s="3" t="n"/>
      <c r="N475" s="2" t="n">
        <v>0</v>
      </c>
      <c r="O475" s="2" t="inlineStr">
        <is>
          <t>e3_complet_A0, e3_complet_A1</t>
        </is>
      </c>
      <c r="P475" s="3" t="n">
        <v>1.312</v>
      </c>
      <c r="Q475" s="2" t="inlineStr">
        <is>
          <t>lasers</t>
        </is>
      </c>
    </row>
    <row r="476">
      <c r="A476" s="2" t="inlineStr">
        <is>
          <t>2026-10-15 13:06</t>
        </is>
      </c>
      <c r="B476" s="2" t="inlineStr">
        <is>
          <t>8a17da4 +modifs</t>
        </is>
      </c>
      <c r="C476" s="2" t="inlineStr">
        <is>
          <t>19. Lasers : etape 3 avant (reference)</t>
        </is>
      </c>
      <c r="D476" s="2" t="inlineStr">
        <is>
          <t>adaptive=0, en mouvement, banc rapide, 14 cas</t>
        </is>
      </c>
      <c r="E476" s="2" t="n">
        <v>2</v>
      </c>
      <c r="F476" s="2" t="inlineStr">
        <is>
          <t>L5 nappes en gros plan, fumee epaisse</t>
        </is>
      </c>
      <c r="G476" s="3" t="n">
        <v>10.92</v>
      </c>
      <c r="H476" s="4">
        <f>IF(G476&gt;0,1000/G476,"")</f>
        <v/>
      </c>
      <c r="I476" s="3" t="n">
        <v>10.1</v>
      </c>
      <c r="J476" s="3" t="n">
        <v>8.42</v>
      </c>
      <c r="K476" s="3" t="n">
        <v>0.776</v>
      </c>
      <c r="L476" s="3" t="n">
        <v>0.646</v>
      </c>
      <c r="M476" s="3" t="n"/>
      <c r="N476" s="2" t="n">
        <v>0</v>
      </c>
      <c r="O476" s="2" t="inlineStr">
        <is>
          <t>e3_complet_A0, e3_complet_A1</t>
        </is>
      </c>
      <c r="P476" s="3" t="n">
        <v>5.618</v>
      </c>
      <c r="Q476" s="2" t="inlineStr">
        <is>
          <t>lasers</t>
        </is>
      </c>
    </row>
    <row r="477">
      <c r="A477" s="2" t="inlineStr">
        <is>
          <t>2026-10-15 13:06</t>
        </is>
      </c>
      <c r="B477" s="2" t="inlineStr">
        <is>
          <t>8a17da4 +modifs</t>
        </is>
      </c>
      <c r="C477" s="2" t="inlineStr">
        <is>
          <t>19. Lasers : etape 3 avant (reference)</t>
        </is>
      </c>
      <c r="D477" s="2" t="inlineStr">
        <is>
          <t>adaptive=0, en mouvement, banc rapide, 14 cas</t>
        </is>
      </c>
      <c r="E477" s="2" t="n">
        <v>2</v>
      </c>
      <c r="F477" s="2" t="inlineStr">
        <is>
          <t>L6 traits vers le sol et les obstacles / public</t>
        </is>
      </c>
      <c r="G477" s="3" t="n">
        <v>11.95</v>
      </c>
      <c r="H477" s="4">
        <f>IF(G477&gt;0,1000/G477,"")</f>
        <v/>
      </c>
      <c r="I477" s="3" t="n">
        <v>11.095</v>
      </c>
      <c r="J477" s="3" t="n">
        <v>10.585</v>
      </c>
      <c r="K477" s="3" t="n">
        <v>0.778</v>
      </c>
      <c r="L477" s="3" t="n">
        <v>0.649</v>
      </c>
      <c r="M477" s="3" t="n"/>
      <c r="N477" s="2" t="n">
        <v>0</v>
      </c>
      <c r="O477" s="2" t="inlineStr">
        <is>
          <t>e3_complet_A0, e3_complet_A1</t>
        </is>
      </c>
      <c r="P477" s="3" t="n">
        <v>7.633</v>
      </c>
      <c r="Q477" s="2" t="inlineStr">
        <is>
          <t>lasers</t>
        </is>
      </c>
    </row>
    <row r="478">
      <c r="A478" s="2" t="inlineStr">
        <is>
          <t>2026-10-15 13:06</t>
        </is>
      </c>
      <c r="B478" s="2" t="inlineStr">
        <is>
          <t>8a17da4 +modifs</t>
        </is>
      </c>
      <c r="C478" s="2" t="inlineStr">
        <is>
          <t>19. Lasers : etape 3 avant (reference)</t>
        </is>
      </c>
      <c r="D478" s="2" t="inlineStr">
        <is>
          <t>adaptive=0, en mouvement, banc rapide, 14 cas</t>
        </is>
      </c>
      <c r="E478" s="2" t="n">
        <v>2</v>
      </c>
      <c r="F478" s="2" t="inlineStr">
        <is>
          <t>M1 100 lyres + 100 lasers / public</t>
        </is>
      </c>
      <c r="G478" s="3" t="n">
        <v>10.965</v>
      </c>
      <c r="H478" s="4">
        <f>IF(G478&gt;0,1000/G478,"")</f>
        <v/>
      </c>
      <c r="I478" s="3" t="n">
        <v>10.325</v>
      </c>
      <c r="J478" s="3" t="n">
        <v>9.09</v>
      </c>
      <c r="K478" s="3" t="n">
        <v>1.232</v>
      </c>
      <c r="L478" s="3" t="n">
        <v>1.377</v>
      </c>
      <c r="M478" s="3" t="n"/>
      <c r="N478" s="2" t="n">
        <v>48</v>
      </c>
      <c r="O478" s="2" t="inlineStr">
        <is>
          <t>e3_complet_A0, e3_complet_A1</t>
        </is>
      </c>
      <c r="P478" s="3" t="n">
        <v>4.038</v>
      </c>
      <c r="Q478" s="2" t="inlineStr">
        <is>
          <t>lasers</t>
        </is>
      </c>
    </row>
    <row r="479">
      <c r="A479" s="2" t="inlineStr">
        <is>
          <t>2026-10-15 13:06</t>
        </is>
      </c>
      <c r="B479" s="2" t="inlineStr">
        <is>
          <t>8a17da4 +modifs</t>
        </is>
      </c>
      <c r="C479" s="2" t="inlineStr">
        <is>
          <t>19. Lasers : etape 3 avant (reference)</t>
        </is>
      </c>
      <c r="D479" s="2" t="inlineStr">
        <is>
          <t>adaptive=0, en mouvement, banc rapide, 14 cas</t>
        </is>
      </c>
      <c r="E479" s="2" t="n">
        <v>2</v>
      </c>
      <c r="F479" s="2" t="inlineStr">
        <is>
          <t>M1 100 lyres + 100 lasers / scene</t>
        </is>
      </c>
      <c r="G479" s="3" t="n">
        <v>10.4</v>
      </c>
      <c r="H479" s="4">
        <f>IF(G479&gt;0,1000/G479,"")</f>
        <v/>
      </c>
      <c r="I479" s="3" t="n">
        <v>7.49</v>
      </c>
      <c r="J479" s="3" t="n">
        <v>7.4</v>
      </c>
      <c r="K479" s="3" t="n">
        <v>1.164</v>
      </c>
      <c r="L479" s="3" t="n">
        <v>1.349</v>
      </c>
      <c r="M479" s="3" t="n"/>
      <c r="N479" s="2" t="n">
        <v>48</v>
      </c>
      <c r="O479" s="2" t="inlineStr">
        <is>
          <t>e3_complet_A0, e3_complet_A1</t>
        </is>
      </c>
      <c r="P479" s="3" t="n">
        <v>2.708</v>
      </c>
      <c r="Q479" s="2" t="inlineStr">
        <is>
          <t>lasers</t>
        </is>
      </c>
    </row>
    <row r="480">
      <c r="A480" s="2" t="inlineStr">
        <is>
          <t>2026-10-15 13:06</t>
        </is>
      </c>
      <c r="B480" s="2" t="inlineStr">
        <is>
          <t>8a17da4 +modifs</t>
        </is>
      </c>
      <c r="C480" s="2" t="inlineStr">
        <is>
          <t>19. Lasers : etape 3 avant (reference)</t>
        </is>
      </c>
      <c r="D480" s="2" t="inlineStr">
        <is>
          <t>adaptive=0, en mouvement, banc rapide, 14 cas</t>
        </is>
      </c>
      <c r="E480" s="2" t="n">
        <v>2</v>
      </c>
      <c r="F480" s="2" t="inlineStr">
        <is>
          <t>M1 100 lyres + 100 lasers / sous les trusses</t>
        </is>
      </c>
      <c r="G480" s="3" t="n">
        <v>9.44</v>
      </c>
      <c r="H480" s="4">
        <f>IF(G480&gt;0,1000/G480,"")</f>
        <v/>
      </c>
      <c r="I480" s="3" t="n">
        <v>7.575</v>
      </c>
      <c r="J480" s="3" t="n">
        <v>7.405</v>
      </c>
      <c r="K480" s="3" t="n">
        <v>0.917</v>
      </c>
      <c r="L480" s="3" t="n">
        <v>1.288</v>
      </c>
      <c r="M480" s="3" t="n"/>
      <c r="N480" s="2" t="n">
        <v>48</v>
      </c>
      <c r="O480" s="2" t="inlineStr">
        <is>
          <t>e3_complet_A0, e3_complet_A1</t>
        </is>
      </c>
      <c r="P480" s="3" t="n">
        <v>2.922</v>
      </c>
      <c r="Q480" s="2" t="inlineStr">
        <is>
          <t>lasers</t>
        </is>
      </c>
    </row>
    <row r="481">
      <c r="A481" s="2" t="inlineStr">
        <is>
          <t>2026-10-15 13:06</t>
        </is>
      </c>
      <c r="B481" s="2" t="inlineStr">
        <is>
          <t>8a17da4 +modifs</t>
        </is>
      </c>
      <c r="C481" s="2" t="inlineStr">
        <is>
          <t>19. Lasers : etape 3 avant (reference)</t>
        </is>
      </c>
      <c r="D481" s="2" t="inlineStr">
        <is>
          <t>adaptive=0, en mouvement, banc rapide, 14 cas</t>
        </is>
      </c>
      <c r="E481" s="2" t="n">
        <v>2</v>
      </c>
      <c r="F481" s="2" t="inlineStr">
        <is>
          <t>sans lasers (scene seule) / public</t>
        </is>
      </c>
      <c r="G481" s="3" t="n">
        <v>5.18</v>
      </c>
      <c r="H481" s="4">
        <f>IF(G481&gt;0,1000/G481,"")</f>
        <v/>
      </c>
      <c r="I481" s="3" t="n">
        <v>2.795</v>
      </c>
      <c r="J481" s="3" t="n">
        <v>2.565</v>
      </c>
      <c r="K481" s="3" t="n">
        <v>0.775</v>
      </c>
      <c r="L481" s="3" t="n">
        <v>0.646</v>
      </c>
      <c r="M481" s="3" t="n"/>
      <c r="N481" s="2" t="n">
        <v>0</v>
      </c>
      <c r="O481" s="2" t="inlineStr">
        <is>
          <t>e3_complet_A0, e3_complet_A1</t>
        </is>
      </c>
      <c r="P481" s="3" t="n"/>
      <c r="Q481" s="2" t="inlineStr">
        <is>
          <t>lasers</t>
        </is>
      </c>
    </row>
    <row r="482">
      <c r="A482" s="2" t="inlineStr">
        <is>
          <t>2026-10-15 13:06</t>
        </is>
      </c>
      <c r="B482" s="2" t="inlineStr">
        <is>
          <t>8a17da4 +modifs</t>
        </is>
      </c>
      <c r="C482" s="2" t="inlineStr">
        <is>
          <t>19. Lasers : etape 3 avant (reference)</t>
        </is>
      </c>
      <c r="D482" s="2" t="inlineStr">
        <is>
          <t>adaptive=0, en mouvement, banc rapide, 14 cas</t>
        </is>
      </c>
      <c r="E482" s="2" t="n">
        <v>2</v>
      </c>
      <c r="F482" s="2" t="inlineStr">
        <is>
          <t>L7 programmeur : formes, degrades, effets / public</t>
        </is>
      </c>
      <c r="G482" s="3" t="n">
        <v>19.395</v>
      </c>
      <c r="H482" s="4">
        <f>IF(G482&gt;0,1000/G482,"")</f>
        <v/>
      </c>
      <c r="I482" s="3" t="n">
        <v>18.645</v>
      </c>
      <c r="J482" s="3" t="n">
        <v>16.81</v>
      </c>
      <c r="K482" s="3" t="n">
        <v>0.728</v>
      </c>
      <c r="L482" s="3" t="n">
        <v>0.631</v>
      </c>
      <c r="M482" s="3" t="n"/>
      <c r="N482" s="2" t="n">
        <v>0</v>
      </c>
      <c r="O482" s="2" t="inlineStr">
        <is>
          <t>e3_complet_A0, e3_complet_A1</t>
        </is>
      </c>
      <c r="P482" s="3" t="n">
        <v>13.961</v>
      </c>
      <c r="Q482" s="2" t="inlineStr">
        <is>
          <t>lasers</t>
        </is>
      </c>
    </row>
    <row r="483">
      <c r="A483" s="2" t="inlineStr">
        <is>
          <t>2026-10-15 13:06</t>
        </is>
      </c>
      <c r="B483" s="2" t="inlineStr">
        <is>
          <t>8a17da4 +modifs</t>
        </is>
      </c>
      <c r="C483" s="2" t="inlineStr">
        <is>
          <t>19. Lasers : etape 3 finale (fumee de la piece RG8, 2 lobes, volutes)</t>
        </is>
      </c>
      <c r="D483" s="2" t="inlineStr">
        <is>
          <t>adaptive=0, en mouvement, banc rapide, 14 cas, reglages par defaut</t>
        </is>
      </c>
      <c r="E483" s="2" t="n">
        <v>2</v>
      </c>
      <c r="F483" s="2" t="inlineStr">
        <is>
          <t>L1 eventails 200 x 1000 traits / public</t>
        </is>
      </c>
      <c r="G483" s="3" t="n">
        <v>15.575</v>
      </c>
      <c r="H483" s="4">
        <f>IF(G483&gt;0,1000/G483,"")</f>
        <v/>
      </c>
      <c r="I483" s="3" t="n">
        <v>14.375</v>
      </c>
      <c r="J483" s="3" t="n">
        <v>13.26</v>
      </c>
      <c r="K483" s="3" t="n">
        <v>0.662</v>
      </c>
      <c r="L483" s="3" t="n">
        <v>0.659</v>
      </c>
      <c r="M483" s="3" t="n"/>
      <c r="N483" s="2" t="n">
        <v>0</v>
      </c>
      <c r="O483" s="2" t="inlineStr">
        <is>
          <t>e3_complet_B0, e3_complet_B1</t>
        </is>
      </c>
      <c r="P483" s="3" t="n">
        <v>10.259</v>
      </c>
      <c r="Q483" s="2" t="inlineStr">
        <is>
          <t>lasers</t>
        </is>
      </c>
    </row>
    <row r="484">
      <c r="A484" s="2" t="inlineStr">
        <is>
          <t>2026-10-15 13:06</t>
        </is>
      </c>
      <c r="B484" s="2" t="inlineStr">
        <is>
          <t>8a17da4 +modifs</t>
        </is>
      </c>
      <c r="C484" s="2" t="inlineStr">
        <is>
          <t>19. Lasers : etape 3 finale (fumee de la piece RG8, 2 lobes, volutes)</t>
        </is>
      </c>
      <c r="D484" s="2" t="inlineStr">
        <is>
          <t>adaptive=0, en mouvement, banc rapide, 14 cas, reglages par defaut</t>
        </is>
      </c>
      <c r="E484" s="2" t="n">
        <v>2</v>
      </c>
      <c r="F484" s="2" t="inlineStr">
        <is>
          <t>L1 eventails 200 x 1000 traits / scene</t>
        </is>
      </c>
      <c r="G484" s="3" t="n">
        <v>11.99</v>
      </c>
      <c r="H484" s="4">
        <f>IF(G484&gt;0,1000/G484,"")</f>
        <v/>
      </c>
      <c r="I484" s="3" t="n">
        <v>11.05</v>
      </c>
      <c r="J484" s="3" t="n">
        <v>10.25</v>
      </c>
      <c r="K484" s="3" t="n">
        <v>0.782</v>
      </c>
      <c r="L484" s="3" t="n">
        <v>0.712</v>
      </c>
      <c r="M484" s="3" t="n"/>
      <c r="N484" s="2" t="n">
        <v>0</v>
      </c>
      <c r="O484" s="2" t="inlineStr">
        <is>
          <t>e3_complet_B0, e3_complet_B1</t>
        </is>
      </c>
      <c r="P484" s="3" t="n">
        <v>7.138</v>
      </c>
      <c r="Q484" s="2" t="inlineStr">
        <is>
          <t>lasers</t>
        </is>
      </c>
    </row>
    <row r="485">
      <c r="A485" s="2" t="inlineStr">
        <is>
          <t>2026-10-15 13:06</t>
        </is>
      </c>
      <c r="B485" s="2" t="inlineStr">
        <is>
          <t>8a17da4 +modifs</t>
        </is>
      </c>
      <c r="C485" s="2" t="inlineStr">
        <is>
          <t>19. Lasers : etape 3 finale (fumee de la piece RG8, 2 lobes, volutes)</t>
        </is>
      </c>
      <c r="D485" s="2" t="inlineStr">
        <is>
          <t>adaptive=0, en mouvement, banc rapide, 14 cas, reglages par defaut</t>
        </is>
      </c>
      <c r="E485" s="2" t="n">
        <v>2</v>
      </c>
      <c r="F485" s="2" t="inlineStr">
        <is>
          <t>L1 eventails 200 x 1000 traits / sous les trusses</t>
        </is>
      </c>
      <c r="G485" s="3" t="n">
        <v>12.015</v>
      </c>
      <c r="H485" s="4">
        <f>IF(G485&gt;0,1000/G485,"")</f>
        <v/>
      </c>
      <c r="I485" s="3" t="n">
        <v>10.995</v>
      </c>
      <c r="J485" s="3" t="n">
        <v>10.425</v>
      </c>
      <c r="K485" s="3" t="n">
        <v>0.6919999999999999</v>
      </c>
      <c r="L485" s="3" t="n">
        <v>0.796</v>
      </c>
      <c r="M485" s="3" t="n"/>
      <c r="N485" s="2" t="n">
        <v>0</v>
      </c>
      <c r="O485" s="2" t="inlineStr">
        <is>
          <t>e3_complet_B0, e3_complet_B1</t>
        </is>
      </c>
      <c r="P485" s="3" t="n">
        <v>7.321</v>
      </c>
      <c r="Q485" s="2" t="inlineStr">
        <is>
          <t>lasers</t>
        </is>
      </c>
    </row>
    <row r="486">
      <c r="A486" s="2" t="inlineStr">
        <is>
          <t>2026-10-15 13:06</t>
        </is>
      </c>
      <c r="B486" s="2" t="inlineStr">
        <is>
          <t>8a17da4 +modifs</t>
        </is>
      </c>
      <c r="C486" s="2" t="inlineStr">
        <is>
          <t>19. Lasers : etape 3 finale (fumee de la piece RG8, 2 lobes, volutes)</t>
        </is>
      </c>
      <c r="D486" s="2" t="inlineStr">
        <is>
          <t>adaptive=0, en mouvement, banc rapide, 14 cas, reglages par defaut</t>
        </is>
      </c>
      <c r="E486" s="2" t="n">
        <v>2</v>
      </c>
      <c r="F486" s="2" t="inlineStr">
        <is>
          <t>L2 cones 200 x 32 segments / public</t>
        </is>
      </c>
      <c r="G486" s="3" t="n">
        <v>16.65</v>
      </c>
      <c r="H486" s="4">
        <f>IF(G486&gt;0,1000/G486,"")</f>
        <v/>
      </c>
      <c r="I486" s="3" t="n">
        <v>15.895</v>
      </c>
      <c r="J486" s="3" t="n">
        <v>15.455</v>
      </c>
      <c r="K486" s="3" t="n">
        <v>0.789</v>
      </c>
      <c r="L486" s="3" t="n">
        <v>0.669</v>
      </c>
      <c r="M486" s="3" t="n"/>
      <c r="N486" s="2" t="n">
        <v>0</v>
      </c>
      <c r="O486" s="2" t="inlineStr">
        <is>
          <t>e3_complet_B0, e3_complet_B1</t>
        </is>
      </c>
      <c r="P486" s="3" t="n">
        <v>12.322</v>
      </c>
      <c r="Q486" s="2" t="inlineStr">
        <is>
          <t>lasers</t>
        </is>
      </c>
    </row>
    <row r="487">
      <c r="A487" s="2" t="inlineStr">
        <is>
          <t>2026-10-15 13:06</t>
        </is>
      </c>
      <c r="B487" s="2" t="inlineStr">
        <is>
          <t>8a17da4 +modifs</t>
        </is>
      </c>
      <c r="C487" s="2" t="inlineStr">
        <is>
          <t>19. Lasers : etape 3 finale (fumee de la piece RG8, 2 lobes, volutes)</t>
        </is>
      </c>
      <c r="D487" s="2" t="inlineStr">
        <is>
          <t>adaptive=0, en mouvement, banc rapide, 14 cas, reglages par defaut</t>
        </is>
      </c>
      <c r="E487" s="2" t="n">
        <v>2</v>
      </c>
      <c r="F487" s="2" t="inlineStr">
        <is>
          <t>L2 cones 200 x 32 segments / scene</t>
        </is>
      </c>
      <c r="G487" s="3" t="n">
        <v>16.885</v>
      </c>
      <c r="H487" s="4">
        <f>IF(G487&gt;0,1000/G487,"")</f>
        <v/>
      </c>
      <c r="I487" s="3" t="n">
        <v>16.115</v>
      </c>
      <c r="J487" s="3" t="n">
        <v>15.67</v>
      </c>
      <c r="K487" s="3" t="n">
        <v>0.673</v>
      </c>
      <c r="L487" s="3" t="n">
        <v>0.707</v>
      </c>
      <c r="M487" s="3" t="n"/>
      <c r="N487" s="2" t="n">
        <v>0</v>
      </c>
      <c r="O487" s="2" t="inlineStr">
        <is>
          <t>e3_complet_B0, e3_complet_B1</t>
        </is>
      </c>
      <c r="P487" s="3" t="n">
        <v>12.547</v>
      </c>
      <c r="Q487" s="2" t="inlineStr">
        <is>
          <t>lasers</t>
        </is>
      </c>
    </row>
    <row r="488">
      <c r="A488" s="2" t="inlineStr">
        <is>
          <t>2026-10-15 13:06</t>
        </is>
      </c>
      <c r="B488" s="2" t="inlineStr">
        <is>
          <t>8a17da4 +modifs</t>
        </is>
      </c>
      <c r="C488" s="2" t="inlineStr">
        <is>
          <t>19. Lasers : etape 3 finale (fumee de la piece RG8, 2 lobes, volutes)</t>
        </is>
      </c>
      <c r="D488" s="2" t="inlineStr">
        <is>
          <t>adaptive=0, en mouvement, banc rapide, 14 cas, reglages par defaut</t>
        </is>
      </c>
      <c r="E488" s="2" t="n">
        <v>2</v>
      </c>
      <c r="F488" s="2" t="inlineStr">
        <is>
          <t>L3 camera dans les nappes</t>
        </is>
      </c>
      <c r="G488" s="3" t="n">
        <v>11.855</v>
      </c>
      <c r="H488" s="4">
        <f>IF(G488&gt;0,1000/G488,"")</f>
        <v/>
      </c>
      <c r="I488" s="3" t="n">
        <v>11.09</v>
      </c>
      <c r="J488" s="3" t="n">
        <v>10.22</v>
      </c>
      <c r="K488" s="3" t="n">
        <v>0.746</v>
      </c>
      <c r="L488" s="3" t="n">
        <v>0.719</v>
      </c>
      <c r="M488" s="3" t="n"/>
      <c r="N488" s="2" t="n">
        <v>0</v>
      </c>
      <c r="O488" s="2" t="inlineStr">
        <is>
          <t>e3_complet_B0, e3_complet_B1</t>
        </is>
      </c>
      <c r="P488" s="3" t="n">
        <v>7.114</v>
      </c>
      <c r="Q488" s="2" t="inlineStr">
        <is>
          <t>lasers</t>
        </is>
      </c>
    </row>
    <row r="489">
      <c r="A489" s="2" t="inlineStr">
        <is>
          <t>2026-10-15 13:06</t>
        </is>
      </c>
      <c r="B489" s="2" t="inlineStr">
        <is>
          <t>8a17da4 +modifs</t>
        </is>
      </c>
      <c r="C489" s="2" t="inlineStr">
        <is>
          <t>19. Lasers : etape 3 finale (fumee de la piece RG8, 2 lobes, volutes)</t>
        </is>
      </c>
      <c r="D489" s="2" t="inlineStr">
        <is>
          <t>adaptive=0, en mouvement, banc rapide, 14 cas, reglages par defaut</t>
        </is>
      </c>
      <c r="E489" s="2" t="n">
        <v>2</v>
      </c>
      <c r="F489" s="2" t="inlineStr">
        <is>
          <t>L4 200 x 8 traits separes / public</t>
        </is>
      </c>
      <c r="G489" s="3" t="n">
        <v>6.21</v>
      </c>
      <c r="H489" s="4">
        <f>IF(G489&gt;0,1000/G489,"")</f>
        <v/>
      </c>
      <c r="I489" s="3" t="n">
        <v>5.08</v>
      </c>
      <c r="J489" s="3" t="n">
        <v>4.54</v>
      </c>
      <c r="K489" s="3" t="n">
        <v>0.775</v>
      </c>
      <c r="L489" s="3" t="n">
        <v>0.659</v>
      </c>
      <c r="M489" s="3" t="n"/>
      <c r="N489" s="2" t="n">
        <v>0</v>
      </c>
      <c r="O489" s="2" t="inlineStr">
        <is>
          <t>e3_complet_B0, e3_complet_B1</t>
        </is>
      </c>
      <c r="P489" s="3" t="n">
        <v>1.617</v>
      </c>
      <c r="Q489" s="2" t="inlineStr">
        <is>
          <t>lasers</t>
        </is>
      </c>
    </row>
    <row r="490">
      <c r="A490" s="2" t="inlineStr">
        <is>
          <t>2026-10-15 13:06</t>
        </is>
      </c>
      <c r="B490" s="2" t="inlineStr">
        <is>
          <t>8a17da4 +modifs</t>
        </is>
      </c>
      <c r="C490" s="2" t="inlineStr">
        <is>
          <t>19. Lasers : etape 3 finale (fumee de la piece RG8, 2 lobes, volutes)</t>
        </is>
      </c>
      <c r="D490" s="2" t="inlineStr">
        <is>
          <t>adaptive=0, en mouvement, banc rapide, 14 cas, reglages par defaut</t>
        </is>
      </c>
      <c r="E490" s="2" t="n">
        <v>2</v>
      </c>
      <c r="F490" s="2" t="inlineStr">
        <is>
          <t>L5 nappes en gros plan, fumee epaisse</t>
        </is>
      </c>
      <c r="G490" s="3" t="n">
        <v>13.03</v>
      </c>
      <c r="H490" s="4">
        <f>IF(G490&gt;0,1000/G490,"")</f>
        <v/>
      </c>
      <c r="I490" s="3" t="n">
        <v>12.02</v>
      </c>
      <c r="J490" s="3" t="n">
        <v>11.125</v>
      </c>
      <c r="K490" s="3" t="n">
        <v>0.6879999999999999</v>
      </c>
      <c r="L490" s="3" t="n">
        <v>0.659</v>
      </c>
      <c r="M490" s="3" t="n"/>
      <c r="N490" s="2" t="n">
        <v>0</v>
      </c>
      <c r="O490" s="2" t="inlineStr">
        <is>
          <t>e3_complet_B0, e3_complet_B1</t>
        </is>
      </c>
      <c r="P490" s="3" t="n">
        <v>8.140000000000001</v>
      </c>
      <c r="Q490" s="2" t="inlineStr">
        <is>
          <t>lasers</t>
        </is>
      </c>
    </row>
    <row r="491">
      <c r="A491" s="2" t="inlineStr">
        <is>
          <t>2026-10-15 13:06</t>
        </is>
      </c>
      <c r="B491" s="2" t="inlineStr">
        <is>
          <t>8a17da4 +modifs</t>
        </is>
      </c>
      <c r="C491" s="2" t="inlineStr">
        <is>
          <t>19. Lasers : etape 3 finale (fumee de la piece RG8, 2 lobes, volutes)</t>
        </is>
      </c>
      <c r="D491" s="2" t="inlineStr">
        <is>
          <t>adaptive=0, en mouvement, banc rapide, 14 cas, reglages par defaut</t>
        </is>
      </c>
      <c r="E491" s="2" t="n">
        <v>2</v>
      </c>
      <c r="F491" s="2" t="inlineStr">
        <is>
          <t>L6 traits vers le sol et les obstacles / public</t>
        </is>
      </c>
      <c r="G491" s="3" t="n">
        <v>15.885</v>
      </c>
      <c r="H491" s="4">
        <f>IF(G491&gt;0,1000/G491,"")</f>
        <v/>
      </c>
      <c r="I491" s="3" t="n">
        <v>15.025</v>
      </c>
      <c r="J491" s="3" t="n">
        <v>13.875</v>
      </c>
      <c r="K491" s="3" t="n">
        <v>0.804</v>
      </c>
      <c r="L491" s="3" t="n">
        <v>0.6830000000000001</v>
      </c>
      <c r="M491" s="3" t="n"/>
      <c r="N491" s="2" t="n">
        <v>0</v>
      </c>
      <c r="O491" s="2" t="inlineStr">
        <is>
          <t>e3_complet_B0, e3_complet_B1</t>
        </is>
      </c>
      <c r="P491" s="3" t="n">
        <v>10.862</v>
      </c>
      <c r="Q491" s="2" t="inlineStr">
        <is>
          <t>lasers</t>
        </is>
      </c>
    </row>
    <row r="492">
      <c r="A492" s="2" t="inlineStr">
        <is>
          <t>2026-10-15 13:06</t>
        </is>
      </c>
      <c r="B492" s="2" t="inlineStr">
        <is>
          <t>8a17da4 +modifs</t>
        </is>
      </c>
      <c r="C492" s="2" t="inlineStr">
        <is>
          <t>19. Lasers : etape 3 finale (fumee de la piece RG8, 2 lobes, volutes)</t>
        </is>
      </c>
      <c r="D492" s="2" t="inlineStr">
        <is>
          <t>adaptive=0, en mouvement, banc rapide, 14 cas, reglages par defaut</t>
        </is>
      </c>
      <c r="E492" s="2" t="n">
        <v>2</v>
      </c>
      <c r="F492" s="2" t="inlineStr">
        <is>
          <t>M1 100 lyres + 100 lasers / public</t>
        </is>
      </c>
      <c r="G492" s="3" t="n">
        <v>11.885</v>
      </c>
      <c r="H492" s="4">
        <f>IF(G492&gt;0,1000/G492,"")</f>
        <v/>
      </c>
      <c r="I492" s="3" t="n">
        <v>10.985</v>
      </c>
      <c r="J492" s="3" t="n">
        <v>10.61</v>
      </c>
      <c r="K492" s="3" t="n">
        <v>1.236</v>
      </c>
      <c r="L492" s="3" t="n">
        <v>1.422</v>
      </c>
      <c r="M492" s="3" t="n"/>
      <c r="N492" s="2" t="n">
        <v>48</v>
      </c>
      <c r="O492" s="2" t="inlineStr">
        <is>
          <t>e3_complet_B0, e3_complet_B1</t>
        </is>
      </c>
      <c r="P492" s="3" t="n">
        <v>5.375</v>
      </c>
      <c r="Q492" s="2" t="inlineStr">
        <is>
          <t>lasers</t>
        </is>
      </c>
    </row>
    <row r="493">
      <c r="A493" s="2" t="inlineStr">
        <is>
          <t>2026-10-15 13:06</t>
        </is>
      </c>
      <c r="B493" s="2" t="inlineStr">
        <is>
          <t>8a17da4 +modifs</t>
        </is>
      </c>
      <c r="C493" s="2" t="inlineStr">
        <is>
          <t>19. Lasers : etape 3 finale (fumee de la piece RG8, 2 lobes, volutes)</t>
        </is>
      </c>
      <c r="D493" s="2" t="inlineStr">
        <is>
          <t>adaptive=0, en mouvement, banc rapide, 14 cas, reglages par defaut</t>
        </is>
      </c>
      <c r="E493" s="2" t="n">
        <v>2</v>
      </c>
      <c r="F493" s="2" t="inlineStr">
        <is>
          <t>M1 100 lyres + 100 lasers / scene</t>
        </is>
      </c>
      <c r="G493" s="3" t="n">
        <v>10.44</v>
      </c>
      <c r="H493" s="4">
        <f>IF(G493&gt;0,1000/G493,"")</f>
        <v/>
      </c>
      <c r="I493" s="3" t="n">
        <v>9.390000000000001</v>
      </c>
      <c r="J493" s="3" t="n">
        <v>8.460000000000001</v>
      </c>
      <c r="K493" s="3" t="n">
        <v>1.15</v>
      </c>
      <c r="L493" s="3" t="n">
        <v>1.362</v>
      </c>
      <c r="M493" s="3" t="n"/>
      <c r="N493" s="2" t="n">
        <v>48</v>
      </c>
      <c r="O493" s="2" t="inlineStr">
        <is>
          <t>e3_complet_B0, e3_complet_B1</t>
        </is>
      </c>
      <c r="P493" s="3" t="n">
        <v>3.718</v>
      </c>
      <c r="Q493" s="2" t="inlineStr">
        <is>
          <t>lasers</t>
        </is>
      </c>
    </row>
    <row r="494">
      <c r="A494" s="2" t="inlineStr">
        <is>
          <t>2026-10-15 13:06</t>
        </is>
      </c>
      <c r="B494" s="2" t="inlineStr">
        <is>
          <t>8a17da4 +modifs</t>
        </is>
      </c>
      <c r="C494" s="2" t="inlineStr">
        <is>
          <t>19. Lasers : etape 3 finale (fumee de la piece RG8, 2 lobes, volutes)</t>
        </is>
      </c>
      <c r="D494" s="2" t="inlineStr">
        <is>
          <t>adaptive=0, en mouvement, banc rapide, 14 cas, reglages par defaut</t>
        </is>
      </c>
      <c r="E494" s="2" t="n">
        <v>2</v>
      </c>
      <c r="F494" s="2" t="inlineStr">
        <is>
          <t>M1 100 lyres + 100 lasers / sous les trusses</t>
        </is>
      </c>
      <c r="G494" s="3" t="n">
        <v>10.365</v>
      </c>
      <c r="H494" s="4">
        <f>IF(G494&gt;0,1000/G494,"")</f>
        <v/>
      </c>
      <c r="I494" s="3" t="n">
        <v>9.220000000000001</v>
      </c>
      <c r="J494" s="3" t="n">
        <v>8.475</v>
      </c>
      <c r="K494" s="3" t="n">
        <v>0.913</v>
      </c>
      <c r="L494" s="3" t="n">
        <v>1.298</v>
      </c>
      <c r="M494" s="3" t="n"/>
      <c r="N494" s="2" t="n">
        <v>48</v>
      </c>
      <c r="O494" s="2" t="inlineStr">
        <is>
          <t>e3_complet_B0, e3_complet_B1</t>
        </is>
      </c>
      <c r="P494" s="3" t="n">
        <v>3.989</v>
      </c>
      <c r="Q494" s="2" t="inlineStr">
        <is>
          <t>lasers</t>
        </is>
      </c>
    </row>
    <row r="495">
      <c r="A495" s="2" t="inlineStr">
        <is>
          <t>2026-10-15 13:06</t>
        </is>
      </c>
      <c r="B495" s="2" t="inlineStr">
        <is>
          <t>8a17da4 +modifs</t>
        </is>
      </c>
      <c r="C495" s="2" t="inlineStr">
        <is>
          <t>19. Lasers : etape 3 finale (fumee de la piece RG8, 2 lobes, volutes)</t>
        </is>
      </c>
      <c r="D495" s="2" t="inlineStr">
        <is>
          <t>adaptive=0, en mouvement, banc rapide, 14 cas, reglages par defaut</t>
        </is>
      </c>
      <c r="E495" s="2" t="n">
        <v>2</v>
      </c>
      <c r="F495" s="2" t="inlineStr">
        <is>
          <t>sans lasers (scene seule) / public</t>
        </is>
      </c>
      <c r="G495" s="3" t="n">
        <v>4.875</v>
      </c>
      <c r="H495" s="4">
        <f>IF(G495&gt;0,1000/G495,"")</f>
        <v/>
      </c>
      <c r="I495" s="3" t="n">
        <v>3.055</v>
      </c>
      <c r="J495" s="3" t="n">
        <v>2.62</v>
      </c>
      <c r="K495" s="3" t="n">
        <v>0.79</v>
      </c>
      <c r="L495" s="3" t="n">
        <v>0.673</v>
      </c>
      <c r="M495" s="3" t="n"/>
      <c r="N495" s="2" t="n">
        <v>0</v>
      </c>
      <c r="O495" s="2" t="inlineStr">
        <is>
          <t>e3_complet_B0, e3_complet_B1</t>
        </is>
      </c>
      <c r="P495" s="3" t="n"/>
      <c r="Q495" s="2" t="inlineStr">
        <is>
          <t>lasers</t>
        </is>
      </c>
    </row>
    <row r="496">
      <c r="A496" s="2" t="inlineStr">
        <is>
          <t>2026-10-15 13:06</t>
        </is>
      </c>
      <c r="B496" s="2" t="inlineStr">
        <is>
          <t>8a17da4 +modifs</t>
        </is>
      </c>
      <c r="C496" s="2" t="inlineStr">
        <is>
          <t>19. Lasers : etape 3 finale (fumee de la piece RG8, 2 lobes, volutes)</t>
        </is>
      </c>
      <c r="D496" s="2" t="inlineStr">
        <is>
          <t>adaptive=0, en mouvement, banc rapide, 14 cas, reglages par defaut</t>
        </is>
      </c>
      <c r="E496" s="2" t="n">
        <v>2</v>
      </c>
      <c r="F496" s="2" t="inlineStr">
        <is>
          <t>L7 programmeur : formes, degrades, effets / public</t>
        </is>
      </c>
      <c r="G496" s="3" t="n">
        <v>25.645</v>
      </c>
      <c r="H496" s="4">
        <f>IF(G496&gt;0,1000/G496,"")</f>
        <v/>
      </c>
      <c r="I496" s="3" t="n">
        <v>24.535</v>
      </c>
      <c r="J496" s="3" t="n">
        <v>24.125</v>
      </c>
      <c r="K496" s="3" t="n">
        <v>0.718</v>
      </c>
      <c r="L496" s="3" t="n">
        <v>0.663</v>
      </c>
      <c r="M496" s="3" t="n"/>
      <c r="N496" s="2" t="n">
        <v>0</v>
      </c>
      <c r="O496" s="2" t="inlineStr">
        <is>
          <t>e3_complet_B0, e3_complet_B1</t>
        </is>
      </c>
      <c r="P496" s="3" t="n">
        <v>20.843</v>
      </c>
      <c r="Q496" s="2" t="inlineStr">
        <is>
          <t>lasers</t>
        </is>
      </c>
    </row>
    <row r="497">
      <c r="A497" s="2" t="inlineStr">
        <is>
          <t>2026-10-15 13:06</t>
        </is>
      </c>
      <c r="B497" s="2" t="inlineStr">
        <is>
          <t>8a17da4 +modifs</t>
        </is>
      </c>
      <c r="C497" s="2" t="inlineStr">
        <is>
          <t>19. Lyres : etape 3 finale (texture des amas RG8)</t>
        </is>
      </c>
      <c r="D497" s="2" t="inlineStr">
        <is>
          <t>adaptive=0, immobile, banc rapide, 16 cas</t>
        </is>
      </c>
      <c r="E497" s="2" t="n">
        <v>2</v>
      </c>
      <c r="F497" s="2" t="inlineStr">
        <is>
          <t>defaut / public</t>
        </is>
      </c>
      <c r="G497" s="3" t="n">
        <v>7.935</v>
      </c>
      <c r="H497" s="4">
        <f>IF(G497&gt;0,1000/G497,"")</f>
        <v/>
      </c>
      <c r="I497" s="3" t="n">
        <v>7.04</v>
      </c>
      <c r="J497" s="3" t="n">
        <v>6.765</v>
      </c>
      <c r="K497" s="3" t="n">
        <v>1.655</v>
      </c>
      <c r="L497" s="3" t="n">
        <v>1.961</v>
      </c>
      <c r="M497" s="3" t="n"/>
      <c r="N497" s="2" t="n">
        <v>98</v>
      </c>
      <c r="O497" s="2" t="inlineStr">
        <is>
          <t>e3_lyres_rg8_B0, e3_lyres_rg8_B1</t>
        </is>
      </c>
      <c r="P497" s="3" t="n"/>
      <c r="Q497" s="2" t="inlineStr">
        <is>
          <t>lyres</t>
        </is>
      </c>
    </row>
    <row r="498">
      <c r="A498" s="2" t="inlineStr">
        <is>
          <t>2026-10-15 13:06</t>
        </is>
      </c>
      <c r="B498" s="2" t="inlineStr">
        <is>
          <t>8a17da4 +modifs</t>
        </is>
      </c>
      <c r="C498" s="2" t="inlineStr">
        <is>
          <t>19. Lyres : etape 3 finale (texture des amas RG8)</t>
        </is>
      </c>
      <c r="D498" s="2" t="inlineStr">
        <is>
          <t>adaptive=0, immobile, banc rapide, 16 cas</t>
        </is>
      </c>
      <c r="E498" s="2" t="n">
        <v>2</v>
      </c>
      <c r="F498" s="2" t="inlineStr">
        <is>
          <t>defaut / scene</t>
        </is>
      </c>
      <c r="G498" s="3" t="n">
        <v>7.85</v>
      </c>
      <c r="H498" s="4">
        <f>IF(G498&gt;0,1000/G498,"")</f>
        <v/>
      </c>
      <c r="I498" s="3" t="n">
        <v>7.125</v>
      </c>
      <c r="J498" s="3" t="n">
        <v>6.87</v>
      </c>
      <c r="K498" s="3" t="n">
        <v>1.609</v>
      </c>
      <c r="L498" s="3" t="n">
        <v>1.904</v>
      </c>
      <c r="M498" s="3" t="n"/>
      <c r="N498" s="2" t="n">
        <v>98</v>
      </c>
      <c r="O498" s="2" t="inlineStr">
        <is>
          <t>e3_lyres_rg8_B0, e3_lyres_rg8_B1</t>
        </is>
      </c>
      <c r="P498" s="3" t="n"/>
      <c r="Q498" s="2" t="inlineStr">
        <is>
          <t>lyres</t>
        </is>
      </c>
    </row>
    <row r="499">
      <c r="A499" s="2" t="inlineStr">
        <is>
          <t>2026-10-15 13:06</t>
        </is>
      </c>
      <c r="B499" s="2" t="inlineStr">
        <is>
          <t>8a17da4 +modifs</t>
        </is>
      </c>
      <c r="C499" s="2" t="inlineStr">
        <is>
          <t>19. Lyres : etape 3 finale (texture des amas RG8)</t>
        </is>
      </c>
      <c r="D499" s="2" t="inlineStr">
        <is>
          <t>adaptive=0, immobile, banc rapide, 16 cas</t>
        </is>
      </c>
      <c r="E499" s="2" t="n">
        <v>2</v>
      </c>
      <c r="F499" s="2" t="inlineStr">
        <is>
          <t>defaut / sous les trusses</t>
        </is>
      </c>
      <c r="G499" s="3" t="n">
        <v>7.77</v>
      </c>
      <c r="H499" s="4">
        <f>IF(G499&gt;0,1000/G499,"")</f>
        <v/>
      </c>
      <c r="I499" s="3" t="n">
        <v>6.56</v>
      </c>
      <c r="J499" s="3" t="n">
        <v>6.44</v>
      </c>
      <c r="K499" s="3" t="n">
        <v>1.099</v>
      </c>
      <c r="L499" s="3" t="n">
        <v>2.165</v>
      </c>
      <c r="M499" s="3" t="n"/>
      <c r="N499" s="2" t="n">
        <v>98</v>
      </c>
      <c r="O499" s="2" t="inlineStr">
        <is>
          <t>e3_lyres_rg8_B0, e3_lyres_rg8_B1</t>
        </is>
      </c>
      <c r="P499" s="3" t="n"/>
      <c r="Q499" s="2" t="inlineStr">
        <is>
          <t>lyres</t>
        </is>
      </c>
    </row>
    <row r="500">
      <c r="A500" s="2" t="inlineStr">
        <is>
          <t>2026-10-15 13:06</t>
        </is>
      </c>
      <c r="B500" s="2" t="inlineStr">
        <is>
          <t>8a17da4 +modifs</t>
        </is>
      </c>
      <c r="C500" s="2" t="inlineStr">
        <is>
          <t>19. Lyres : etape 3 finale (texture des amas RG8)</t>
        </is>
      </c>
      <c r="D500" s="2" t="inlineStr">
        <is>
          <t>adaptive=0, immobile, banc rapide, 16 cas</t>
        </is>
      </c>
      <c r="E500" s="2" t="n">
        <v>2</v>
      </c>
      <c r="F500" s="2" t="inlineStr">
        <is>
          <t>gobo + prisme 8 + zoom 25 / public</t>
        </is>
      </c>
      <c r="G500" s="3" t="n">
        <v>18.98</v>
      </c>
      <c r="H500" s="4">
        <f>IF(G500&gt;0,1000/G500,"")</f>
        <v/>
      </c>
      <c r="I500" s="3" t="n">
        <v>18.17</v>
      </c>
      <c r="J500" s="3" t="n">
        <v>18.02</v>
      </c>
      <c r="K500" s="3" t="n">
        <v>6.87</v>
      </c>
      <c r="L500" s="3" t="n">
        <v>6.769</v>
      </c>
      <c r="M500" s="3" t="n"/>
      <c r="N500" s="2" t="n">
        <v>280</v>
      </c>
      <c r="O500" s="2" t="inlineStr">
        <is>
          <t>e3_lyres_rg8_B0, e3_lyres_rg8_B1</t>
        </is>
      </c>
      <c r="P500" s="3" t="n"/>
      <c r="Q500" s="2" t="inlineStr">
        <is>
          <t>lyres</t>
        </is>
      </c>
    </row>
    <row r="501">
      <c r="A501" s="2" t="inlineStr">
        <is>
          <t>2026-10-15 13:06</t>
        </is>
      </c>
      <c r="B501" s="2" t="inlineStr">
        <is>
          <t>8a17da4 +modifs</t>
        </is>
      </c>
      <c r="C501" s="2" t="inlineStr">
        <is>
          <t>19. Lyres : etape 3 finale (texture des amas RG8)</t>
        </is>
      </c>
      <c r="D501" s="2" t="inlineStr">
        <is>
          <t>adaptive=0, immobile, banc rapide, 16 cas</t>
        </is>
      </c>
      <c r="E501" s="2" t="n">
        <v>2</v>
      </c>
      <c r="F501" s="2" t="inlineStr">
        <is>
          <t>gobo + prisme 8 + zoom 25 / scene</t>
        </is>
      </c>
      <c r="G501" s="3" t="n">
        <v>17.225</v>
      </c>
      <c r="H501" s="4">
        <f>IF(G501&gt;0,1000/G501,"")</f>
        <v/>
      </c>
      <c r="I501" s="3" t="n">
        <v>16.24</v>
      </c>
      <c r="J501" s="3" t="n">
        <v>16.385</v>
      </c>
      <c r="K501" s="3" t="n">
        <v>5.826</v>
      </c>
      <c r="L501" s="3" t="n">
        <v>6.22</v>
      </c>
      <c r="M501" s="3" t="n"/>
      <c r="N501" s="2" t="n">
        <v>280</v>
      </c>
      <c r="O501" s="2" t="inlineStr">
        <is>
          <t>e3_lyres_rg8_B0, e3_lyres_rg8_B1</t>
        </is>
      </c>
      <c r="P501" s="3" t="n"/>
      <c r="Q501" s="2" t="inlineStr">
        <is>
          <t>lyres</t>
        </is>
      </c>
    </row>
    <row r="502">
      <c r="A502" s="2" t="inlineStr">
        <is>
          <t>2026-10-15 13:06</t>
        </is>
      </c>
      <c r="B502" s="2" t="inlineStr">
        <is>
          <t>8a17da4 +modifs</t>
        </is>
      </c>
      <c r="C502" s="2" t="inlineStr">
        <is>
          <t>19. Lyres : etape 3 finale (texture des amas RG8)</t>
        </is>
      </c>
      <c r="D502" s="2" t="inlineStr">
        <is>
          <t>adaptive=0, immobile, banc rapide, 16 cas</t>
        </is>
      </c>
      <c r="E502" s="2" t="n">
        <v>2</v>
      </c>
      <c r="F502" s="2" t="inlineStr">
        <is>
          <t>gobo + prisme 8 + zoom 25 / sous les trusses</t>
        </is>
      </c>
      <c r="G502" s="3" t="n">
        <v>12.875</v>
      </c>
      <c r="H502" s="4">
        <f>IF(G502&gt;0,1000/G502,"")</f>
        <v/>
      </c>
      <c r="I502" s="3" t="n">
        <v>12.06</v>
      </c>
      <c r="J502" s="3" t="n">
        <v>11.96</v>
      </c>
      <c r="K502" s="3" t="n">
        <v>3.299</v>
      </c>
      <c r="L502" s="3" t="n">
        <v>4.046</v>
      </c>
      <c r="M502" s="3" t="n"/>
      <c r="N502" s="2" t="n">
        <v>280</v>
      </c>
      <c r="O502" s="2" t="inlineStr">
        <is>
          <t>e3_lyres_rg8_B0, e3_lyres_rg8_B1</t>
        </is>
      </c>
      <c r="P502" s="3" t="n"/>
      <c r="Q502" s="2" t="inlineStr">
        <is>
          <t>lyres</t>
        </is>
      </c>
    </row>
    <row r="503">
      <c r="A503" s="2" t="inlineStr">
        <is>
          <t>2026-10-15 13:06</t>
        </is>
      </c>
      <c r="B503" s="2" t="inlineStr">
        <is>
          <t>8a17da4 +modifs</t>
        </is>
      </c>
      <c r="C503" s="2" t="inlineStr">
        <is>
          <t>19. Lyres : etape 3 finale (texture des amas RG8)</t>
        </is>
      </c>
      <c r="D503" s="2" t="inlineStr">
        <is>
          <t>adaptive=0, immobile, banc rapide, 16 cas</t>
        </is>
      </c>
      <c r="E503" s="2" t="n">
        <v>2</v>
      </c>
      <c r="F503" s="2" t="inlineStr">
        <is>
          <t>zoom 45 + frost 0.6 / public</t>
        </is>
      </c>
      <c r="G503" s="3" t="n">
        <v>11.875</v>
      </c>
      <c r="H503" s="4">
        <f>IF(G503&gt;0,1000/G503,"")</f>
        <v/>
      </c>
      <c r="I503" s="3" t="n">
        <v>10.82</v>
      </c>
      <c r="J503" s="3" t="n">
        <v>10.585</v>
      </c>
      <c r="K503" s="3" t="n">
        <v>3.317</v>
      </c>
      <c r="L503" s="3" t="n">
        <v>4.132</v>
      </c>
      <c r="M503" s="3" t="n"/>
      <c r="N503" s="2" t="n">
        <v>887</v>
      </c>
      <c r="O503" s="2" t="inlineStr">
        <is>
          <t>e3_lyres_rg8_B0, e3_lyres_rg8_B1</t>
        </is>
      </c>
      <c r="P503" s="3" t="n"/>
      <c r="Q503" s="2" t="inlineStr">
        <is>
          <t>lyres</t>
        </is>
      </c>
    </row>
    <row r="504">
      <c r="A504" s="2" t="inlineStr">
        <is>
          <t>2026-10-15 13:06</t>
        </is>
      </c>
      <c r="B504" s="2" t="inlineStr">
        <is>
          <t>8a17da4 +modifs</t>
        </is>
      </c>
      <c r="C504" s="2" t="inlineStr">
        <is>
          <t>19. Lyres : etape 3 finale (texture des amas RG8)</t>
        </is>
      </c>
      <c r="D504" s="2" t="inlineStr">
        <is>
          <t>adaptive=0, immobile, banc rapide, 16 cas</t>
        </is>
      </c>
      <c r="E504" s="2" t="n">
        <v>2</v>
      </c>
      <c r="F504" s="2" t="inlineStr">
        <is>
          <t>zoom 45 + frost 0.6 / scene</t>
        </is>
      </c>
      <c r="G504" s="3" t="n">
        <v>11.74</v>
      </c>
      <c r="H504" s="4">
        <f>IF(G504&gt;0,1000/G504,"")</f>
        <v/>
      </c>
      <c r="I504" s="3" t="n">
        <v>10.76</v>
      </c>
      <c r="J504" s="3" t="n">
        <v>10.33</v>
      </c>
      <c r="K504" s="3" t="n">
        <v>3.058</v>
      </c>
      <c r="L504" s="3" t="n">
        <v>4.231</v>
      </c>
      <c r="M504" s="3" t="n"/>
      <c r="N504" s="2" t="n">
        <v>887</v>
      </c>
      <c r="O504" s="2" t="inlineStr">
        <is>
          <t>e3_lyres_rg8_B0, e3_lyres_rg8_B1</t>
        </is>
      </c>
      <c r="P504" s="3" t="n"/>
      <c r="Q504" s="2" t="inlineStr">
        <is>
          <t>lyres</t>
        </is>
      </c>
    </row>
    <row r="505">
      <c r="A505" s="2" t="inlineStr">
        <is>
          <t>2026-10-15 13:06</t>
        </is>
      </c>
      <c r="B505" s="2" t="inlineStr">
        <is>
          <t>8a17da4 +modifs</t>
        </is>
      </c>
      <c r="C505" s="2" t="inlineStr">
        <is>
          <t>19. Lyres : etape 3 finale (texture des amas RG8)</t>
        </is>
      </c>
      <c r="D505" s="2" t="inlineStr">
        <is>
          <t>adaptive=0, immobile, banc rapide, 16 cas</t>
        </is>
      </c>
      <c r="E505" s="2" t="n">
        <v>2</v>
      </c>
      <c r="F505" s="2" t="inlineStr">
        <is>
          <t>zoom 45 + frost 0.6 / sous les trusses</t>
        </is>
      </c>
      <c r="G505" s="3" t="n">
        <v>9.615</v>
      </c>
      <c r="H505" s="4">
        <f>IF(G505&gt;0,1000/G505,"")</f>
        <v/>
      </c>
      <c r="I505" s="3" t="n">
        <v>7.495</v>
      </c>
      <c r="J505" s="3" t="n">
        <v>7.12</v>
      </c>
      <c r="K505" s="3" t="n">
        <v>1.502</v>
      </c>
      <c r="L505" s="3" t="n">
        <v>3.308</v>
      </c>
      <c r="M505" s="3" t="n"/>
      <c r="N505" s="2" t="n">
        <v>887</v>
      </c>
      <c r="O505" s="2" t="inlineStr">
        <is>
          <t>e3_lyres_rg8_B0, e3_lyres_rg8_B1</t>
        </is>
      </c>
      <c r="P505" s="3" t="n"/>
      <c r="Q505" s="2" t="inlineStr">
        <is>
          <t>lyres</t>
        </is>
      </c>
    </row>
    <row r="506">
      <c r="A506" s="2" t="inlineStr">
        <is>
          <t>2026-10-15 13:06</t>
        </is>
      </c>
      <c r="B506" s="2" t="inlineStr">
        <is>
          <t>8a17da4 +modifs</t>
        </is>
      </c>
      <c r="C506" s="2" t="inlineStr">
        <is>
          <t>19. Lyres : etape 3 finale (texture des amas RG8)</t>
        </is>
      </c>
      <c r="D506" s="2" t="inlineStr">
        <is>
          <t>adaptive=0, immobile, banc rapide, 16 cas</t>
        </is>
      </c>
      <c r="E506" s="2" t="n">
        <v>2</v>
      </c>
      <c r="F506" s="2" t="inlineStr">
        <is>
          <t>sans rebonds (GI)</t>
        </is>
      </c>
      <c r="G506" s="3" t="n">
        <v>7.835</v>
      </c>
      <c r="H506" s="4">
        <f>IF(G506&gt;0,1000/G506,"")</f>
        <v/>
      </c>
      <c r="I506" s="3" t="n">
        <v>6.555</v>
      </c>
      <c r="J506" s="3" t="n">
        <v>6.275</v>
      </c>
      <c r="K506" s="3" t="n">
        <v>1.43</v>
      </c>
      <c r="L506" s="3" t="n">
        <v>1.644</v>
      </c>
      <c r="M506" s="3" t="n"/>
      <c r="N506" s="2" t="n">
        <v>98</v>
      </c>
      <c r="O506" s="2" t="inlineStr">
        <is>
          <t>e3_lyres_rg8_B0, e3_lyres_rg8_B1</t>
        </is>
      </c>
      <c r="P506" s="3" t="n"/>
      <c r="Q506" s="2" t="inlineStr">
        <is>
          <t>lyres</t>
        </is>
      </c>
    </row>
    <row r="507">
      <c r="A507" s="2" t="inlineStr">
        <is>
          <t>2026-10-15 13:06</t>
        </is>
      </c>
      <c r="B507" s="2" t="inlineStr">
        <is>
          <t>8a17da4 +modifs</t>
        </is>
      </c>
      <c r="C507" s="2" t="inlineStr">
        <is>
          <t>19. Lyres : etape 3 finale (texture des amas RG8)</t>
        </is>
      </c>
      <c r="D507" s="2" t="inlineStr">
        <is>
          <t>adaptive=0, immobile, banc rapide, 16 cas</t>
        </is>
      </c>
      <c r="E507" s="2" t="n">
        <v>2</v>
      </c>
      <c r="F507" s="2" t="inlineStr">
        <is>
          <t>sans fumee volumetrique</t>
        </is>
      </c>
      <c r="G507" s="3" t="n">
        <v>5.215</v>
      </c>
      <c r="H507" s="4">
        <f>IF(G507&gt;0,1000/G507,"")</f>
        <v/>
      </c>
      <c r="I507" s="3" t="n">
        <v>3.24</v>
      </c>
      <c r="J507" s="3" t="n">
        <v>2.995</v>
      </c>
      <c r="K507" s="3" t="n">
        <v>1.683</v>
      </c>
      <c r="L507" s="3" t="n">
        <v>0</v>
      </c>
      <c r="M507" s="3" t="n"/>
      <c r="N507" s="2" t="n">
        <v>98</v>
      </c>
      <c r="O507" s="2" t="inlineStr">
        <is>
          <t>e3_lyres_rg8_B0, e3_lyres_rg8_B1</t>
        </is>
      </c>
      <c r="P507" s="3" t="n"/>
      <c r="Q507" s="2" t="inlineStr">
        <is>
          <t>lyres</t>
        </is>
      </c>
    </row>
    <row r="508">
      <c r="A508" s="2" t="inlineStr">
        <is>
          <t>2026-10-15 13:06</t>
        </is>
      </c>
      <c r="B508" s="2" t="inlineStr">
        <is>
          <t>8a17da4 +modifs</t>
        </is>
      </c>
      <c r="C508" s="2" t="inlineStr">
        <is>
          <t>19. Lyres : etape 3 finale (texture des amas RG8)</t>
        </is>
      </c>
      <c r="D508" s="2" t="inlineStr">
        <is>
          <t>adaptive=0, immobile, banc rapide, 16 cas</t>
        </is>
      </c>
      <c r="E508" s="2" t="n">
        <v>2</v>
      </c>
      <c r="F508" s="2" t="inlineStr">
        <is>
          <t>sans taches sur surfaces</t>
        </is>
      </c>
      <c r="G508" s="3" t="n">
        <v>7.93</v>
      </c>
      <c r="H508" s="4">
        <f>IF(G508&gt;0,1000/G508,"")</f>
        <v/>
      </c>
      <c r="I508" s="3" t="n">
        <v>6.33</v>
      </c>
      <c r="J508" s="3" t="n">
        <v>5.97</v>
      </c>
      <c r="K508" s="3" t="n">
        <v>0.6879999999999999</v>
      </c>
      <c r="L508" s="3" t="n">
        <v>2.03</v>
      </c>
      <c r="M508" s="3" t="n"/>
      <c r="N508" s="2" t="n">
        <v>98</v>
      </c>
      <c r="O508" s="2" t="inlineStr">
        <is>
          <t>e3_lyres_rg8_B0, e3_lyres_rg8_B1</t>
        </is>
      </c>
      <c r="P508" s="3" t="n"/>
      <c r="Q508" s="2" t="inlineStr">
        <is>
          <t>lyres</t>
        </is>
      </c>
    </row>
    <row r="509">
      <c r="A509" s="2" t="inlineStr">
        <is>
          <t>2026-10-15 13:06</t>
        </is>
      </c>
      <c r="B509" s="2" t="inlineStr">
        <is>
          <t>8a17da4 +modifs</t>
        </is>
      </c>
      <c r="C509" s="2" t="inlineStr">
        <is>
          <t>19. Lyres : etape 3 finale (texture des amas RG8)</t>
        </is>
      </c>
      <c r="D509" s="2" t="inlineStr">
        <is>
          <t>adaptive=0, immobile, banc rapide, 16 cas</t>
        </is>
      </c>
      <c r="E509" s="2" t="n">
        <v>2</v>
      </c>
      <c r="F509" s="2" t="inlineStr">
        <is>
          <t>sans reflets</t>
        </is>
      </c>
      <c r="G509" s="3" t="n">
        <v>8.125</v>
      </c>
      <c r="H509" s="4">
        <f>IF(G509&gt;0,1000/G509,"")</f>
        <v/>
      </c>
      <c r="I509" s="3" t="n">
        <v>7.095</v>
      </c>
      <c r="J509" s="3" t="n">
        <v>6.805</v>
      </c>
      <c r="K509" s="3" t="n">
        <v>1.685</v>
      </c>
      <c r="L509" s="3" t="n">
        <v>2.061</v>
      </c>
      <c r="M509" s="3" t="n"/>
      <c r="N509" s="2" t="n">
        <v>98</v>
      </c>
      <c r="O509" s="2" t="inlineStr">
        <is>
          <t>e3_lyres_rg8_B0, e3_lyres_rg8_B1</t>
        </is>
      </c>
      <c r="P509" s="3" t="n"/>
      <c r="Q509" s="2" t="inlineStr">
        <is>
          <t>lyres</t>
        </is>
      </c>
    </row>
    <row r="510">
      <c r="A510" s="2" t="inlineStr">
        <is>
          <t>2026-10-15 13:06</t>
        </is>
      </c>
      <c r="B510" s="2" t="inlineStr">
        <is>
          <t>8a17da4 +modifs</t>
        </is>
      </c>
      <c r="C510" s="2" t="inlineStr">
        <is>
          <t>19. Lyres : etape 3 finale (texture des amas RG8)</t>
        </is>
      </c>
      <c r="D510" s="2" t="inlineStr">
        <is>
          <t>adaptive=0, immobile, banc rapide, 16 cas</t>
        </is>
      </c>
      <c r="E510" s="2" t="n">
        <v>2</v>
      </c>
      <c r="F510" s="2" t="inlineStr">
        <is>
          <t>sans bloom</t>
        </is>
      </c>
      <c r="G510" s="3" t="n">
        <v>7.995</v>
      </c>
      <c r="H510" s="4">
        <f>IF(G510&gt;0,1000/G510,"")</f>
        <v/>
      </c>
      <c r="I510" s="3" t="n">
        <v>6.98</v>
      </c>
      <c r="J510" s="3" t="n">
        <v>6.865</v>
      </c>
      <c r="K510" s="3" t="n">
        <v>1.636</v>
      </c>
      <c r="L510" s="3" t="n">
        <v>1.977</v>
      </c>
      <c r="M510" s="3" t="n"/>
      <c r="N510" s="2" t="n">
        <v>98</v>
      </c>
      <c r="O510" s="2" t="inlineStr">
        <is>
          <t>e3_lyres_rg8_B0, e3_lyres_rg8_B1</t>
        </is>
      </c>
      <c r="P510" s="3" t="n"/>
      <c r="Q510" s="2" t="inlineStr">
        <is>
          <t>lyres</t>
        </is>
      </c>
    </row>
    <row r="511">
      <c r="A511" s="2" t="inlineStr">
        <is>
          <t>2026-10-15 13:06</t>
        </is>
      </c>
      <c r="B511" s="2" t="inlineStr">
        <is>
          <t>8a17da4 +modifs</t>
        </is>
      </c>
      <c r="C511" s="2" t="inlineStr">
        <is>
          <t>19. Lyres : etape 3 finale (texture des amas RG8)</t>
        </is>
      </c>
      <c r="D511" s="2" t="inlineStr">
        <is>
          <t>adaptive=0, immobile, banc rapide, 16 cas</t>
        </is>
      </c>
      <c r="E511" s="2" t="n">
        <v>2</v>
      </c>
      <c r="F511" s="2" t="inlineStr">
        <is>
          <t>sol mouille / public</t>
        </is>
      </c>
      <c r="G511" s="3" t="n">
        <v>10.555</v>
      </c>
      <c r="H511" s="4">
        <f>IF(G511&gt;0,1000/G511,"")</f>
        <v/>
      </c>
      <c r="I511" s="3" t="n">
        <v>9.41</v>
      </c>
      <c r="J511" s="3" t="n">
        <v>9.515000000000001</v>
      </c>
      <c r="K511" s="3" t="n">
        <v>2.042</v>
      </c>
      <c r="L511" s="3" t="n">
        <v>2.064</v>
      </c>
      <c r="M511" s="3" t="n">
        <v>1.028</v>
      </c>
      <c r="N511" s="2" t="n">
        <v>98</v>
      </c>
      <c r="O511" s="2" t="inlineStr">
        <is>
          <t>e3_lyres_rg8_B0, e3_lyres_rg8_B1</t>
        </is>
      </c>
      <c r="P511" s="3" t="n"/>
      <c r="Q511" s="2" t="inlineStr">
        <is>
          <t>lyres</t>
        </is>
      </c>
    </row>
    <row r="512">
      <c r="A512" s="2" t="inlineStr">
        <is>
          <t>2026-10-15 13:06</t>
        </is>
      </c>
      <c r="B512" s="2" t="inlineStr">
        <is>
          <t>8a17da4 +modifs</t>
        </is>
      </c>
      <c r="C512" s="2" t="inlineStr">
        <is>
          <t>19. Lyres : etape 3 finale (texture des amas RG8)</t>
        </is>
      </c>
      <c r="D512" s="2" t="inlineStr">
        <is>
          <t>adaptive=0, immobile, banc rapide, 16 cas</t>
        </is>
      </c>
      <c r="E512" s="2" t="n">
        <v>2</v>
      </c>
      <c r="F512" s="2" t="inlineStr">
        <is>
          <t>sol mouille + gobo + prisme 8 / scene</t>
        </is>
      </c>
      <c r="G512" s="3" t="n">
        <v>23.975</v>
      </c>
      <c r="H512" s="4">
        <f>IF(G512&gt;0,1000/G512,"")</f>
        <v/>
      </c>
      <c r="I512" s="3" t="n">
        <v>23.205</v>
      </c>
      <c r="J512" s="3" t="n">
        <v>22.97</v>
      </c>
      <c r="K512" s="3" t="n">
        <v>6.678</v>
      </c>
      <c r="L512" s="3" t="n">
        <v>6.145</v>
      </c>
      <c r="M512" s="3" t="n">
        <v>4.888</v>
      </c>
      <c r="N512" s="2" t="n">
        <v>280</v>
      </c>
      <c r="O512" s="2" t="inlineStr">
        <is>
          <t>e3_lyres_rg8_B0, e3_lyres_rg8_B1</t>
        </is>
      </c>
      <c r="P512" s="3" t="n"/>
      <c r="Q512" s="2" t="inlineStr">
        <is>
          <t>lyres</t>
        </is>
      </c>
    </row>
    <row r="513">
      <c r="A513" s="2" t="inlineStr">
        <is>
          <t>2026-10-15 13:42</t>
        </is>
      </c>
      <c r="B513" s="2" t="inlineStr">
        <is>
          <t>8a17da4 +modifs</t>
        </is>
      </c>
      <c r="C513" s="2" t="inlineStr">
        <is>
          <t>20. Lasers : lecture ILDA, mode ligne, 16 384 segments</t>
        </is>
      </c>
      <c r="D513" s="2" t="inlineStr">
        <is>
          <t>adaptive=0, en mouvement, banc rapide, 19 cas</t>
        </is>
      </c>
      <c r="E513" s="2" t="n">
        <v>2</v>
      </c>
      <c r="F513" s="2" t="inlineStr">
        <is>
          <t>L1 eventails 200 x 1000 traits / public</t>
        </is>
      </c>
      <c r="G513" s="3" t="n">
        <v>15.04</v>
      </c>
      <c r="H513" s="4">
        <f>IF(G513&gt;0,1000/G513,"")</f>
        <v/>
      </c>
      <c r="I513" s="3" t="n">
        <v>14.285</v>
      </c>
      <c r="J513" s="3" t="n">
        <v>13.1</v>
      </c>
      <c r="K513" s="3" t="n">
        <v>0.665</v>
      </c>
      <c r="L513" s="3" t="n">
        <v>0.655</v>
      </c>
      <c r="M513" s="3" t="n"/>
      <c r="N513" s="2" t="n">
        <v>0</v>
      </c>
      <c r="O513" s="2" t="inlineStr">
        <is>
          <t>ilda_final_B0, ilda_final_B1</t>
        </is>
      </c>
      <c r="P513" s="3" t="n">
        <v>10.153</v>
      </c>
      <c r="Q513" s="2" t="inlineStr">
        <is>
          <t>lasers</t>
        </is>
      </c>
    </row>
    <row r="514">
      <c r="A514" s="2" t="inlineStr">
        <is>
          <t>2026-10-15 13:42</t>
        </is>
      </c>
      <c r="B514" s="2" t="inlineStr">
        <is>
          <t>8a17da4 +modifs</t>
        </is>
      </c>
      <c r="C514" s="2" t="inlineStr">
        <is>
          <t>20. Lasers : lecture ILDA, mode ligne, 16 384 segments</t>
        </is>
      </c>
      <c r="D514" s="2" t="inlineStr">
        <is>
          <t>adaptive=0, en mouvement, banc rapide, 19 cas</t>
        </is>
      </c>
      <c r="E514" s="2" t="n">
        <v>2</v>
      </c>
      <c r="F514" s="2" t="inlineStr">
        <is>
          <t>L1 eventails 200 x 1000 traits / scene</t>
        </is>
      </c>
      <c r="G514" s="3" t="n">
        <v>11.505</v>
      </c>
      <c r="H514" s="4">
        <f>IF(G514&gt;0,1000/G514,"")</f>
        <v/>
      </c>
      <c r="I514" s="3" t="n">
        <v>10.74</v>
      </c>
      <c r="J514" s="3" t="n">
        <v>10.27</v>
      </c>
      <c r="K514" s="3" t="n">
        <v>0.789</v>
      </c>
      <c r="L514" s="3" t="n">
        <v>0.708</v>
      </c>
      <c r="M514" s="3" t="n"/>
      <c r="N514" s="2" t="n">
        <v>0</v>
      </c>
      <c r="O514" s="2" t="inlineStr">
        <is>
          <t>ilda_final_B0, ilda_final_B1</t>
        </is>
      </c>
      <c r="P514" s="3" t="n">
        <v>7.097</v>
      </c>
      <c r="Q514" s="2" t="inlineStr">
        <is>
          <t>lasers</t>
        </is>
      </c>
    </row>
    <row r="515">
      <c r="A515" s="2" t="inlineStr">
        <is>
          <t>2026-10-15 13:42</t>
        </is>
      </c>
      <c r="B515" s="2" t="inlineStr">
        <is>
          <t>8a17da4 +modifs</t>
        </is>
      </c>
      <c r="C515" s="2" t="inlineStr">
        <is>
          <t>20. Lasers : lecture ILDA, mode ligne, 16 384 segments</t>
        </is>
      </c>
      <c r="D515" s="2" t="inlineStr">
        <is>
          <t>adaptive=0, en mouvement, banc rapide, 19 cas</t>
        </is>
      </c>
      <c r="E515" s="2" t="n">
        <v>2</v>
      </c>
      <c r="F515" s="2" t="inlineStr">
        <is>
          <t>L1 eventails 200 x 1000 traits / sous les trusses</t>
        </is>
      </c>
      <c r="G515" s="3" t="n">
        <v>12.025</v>
      </c>
      <c r="H515" s="4">
        <f>IF(G515&gt;0,1000/G515,"")</f>
        <v/>
      </c>
      <c r="I515" s="3" t="n">
        <v>11.02</v>
      </c>
      <c r="J515" s="3" t="n">
        <v>10.455</v>
      </c>
      <c r="K515" s="3" t="n">
        <v>0.6879999999999999</v>
      </c>
      <c r="L515" s="3" t="n">
        <v>0.804</v>
      </c>
      <c r="M515" s="3" t="n"/>
      <c r="N515" s="2" t="n">
        <v>0</v>
      </c>
      <c r="O515" s="2" t="inlineStr">
        <is>
          <t>ilda_final_B0, ilda_final_B1</t>
        </is>
      </c>
      <c r="P515" s="3" t="n">
        <v>7.322</v>
      </c>
      <c r="Q515" s="2" t="inlineStr">
        <is>
          <t>lasers</t>
        </is>
      </c>
    </row>
    <row r="516">
      <c r="A516" s="2" t="inlineStr">
        <is>
          <t>2026-10-15 13:42</t>
        </is>
      </c>
      <c r="B516" s="2" t="inlineStr">
        <is>
          <t>8a17da4 +modifs</t>
        </is>
      </c>
      <c r="C516" s="2" t="inlineStr">
        <is>
          <t>20. Lasers : lecture ILDA, mode ligne, 16 384 segments</t>
        </is>
      </c>
      <c r="D516" s="2" t="inlineStr">
        <is>
          <t>adaptive=0, en mouvement, banc rapide, 19 cas</t>
        </is>
      </c>
      <c r="E516" s="2" t="n">
        <v>2</v>
      </c>
      <c r="F516" s="2" t="inlineStr">
        <is>
          <t>L2 cones 200 x 32 segments / public</t>
        </is>
      </c>
      <c r="G516" s="3" t="n">
        <v>16.92</v>
      </c>
      <c r="H516" s="4">
        <f>IF(G516&gt;0,1000/G516,"")</f>
        <v/>
      </c>
      <c r="I516" s="3" t="n">
        <v>15.95</v>
      </c>
      <c r="J516" s="3" t="n">
        <v>15.665</v>
      </c>
      <c r="K516" s="3" t="n">
        <v>0.675</v>
      </c>
      <c r="L516" s="3" t="n">
        <v>0.658</v>
      </c>
      <c r="M516" s="3" t="n"/>
      <c r="N516" s="2" t="n">
        <v>0</v>
      </c>
      <c r="O516" s="2" t="inlineStr">
        <is>
          <t>ilda_final_B0, ilda_final_B1</t>
        </is>
      </c>
      <c r="P516" s="3" t="n">
        <v>12.2</v>
      </c>
      <c r="Q516" s="2" t="inlineStr">
        <is>
          <t>lasers</t>
        </is>
      </c>
    </row>
    <row r="517">
      <c r="A517" s="2" t="inlineStr">
        <is>
          <t>2026-10-15 13:42</t>
        </is>
      </c>
      <c r="B517" s="2" t="inlineStr">
        <is>
          <t>8a17da4 +modifs</t>
        </is>
      </c>
      <c r="C517" s="2" t="inlineStr">
        <is>
          <t>20. Lasers : lecture ILDA, mode ligne, 16 384 segments</t>
        </is>
      </c>
      <c r="D517" s="2" t="inlineStr">
        <is>
          <t>adaptive=0, en mouvement, banc rapide, 19 cas</t>
        </is>
      </c>
      <c r="E517" s="2" t="n">
        <v>2</v>
      </c>
      <c r="F517" s="2" t="inlineStr">
        <is>
          <t>L2 cones 200 x 32 segments / scene</t>
        </is>
      </c>
      <c r="G517" s="3" t="n">
        <v>17.05</v>
      </c>
      <c r="H517" s="4">
        <f>IF(G517&gt;0,1000/G517,"")</f>
        <v/>
      </c>
      <c r="I517" s="3" t="n">
        <v>16.115</v>
      </c>
      <c r="J517" s="3" t="n">
        <v>15.7</v>
      </c>
      <c r="K517" s="3" t="n">
        <v>0.794</v>
      </c>
      <c r="L517" s="3" t="n">
        <v>0.713</v>
      </c>
      <c r="M517" s="3" t="n"/>
      <c r="N517" s="2" t="n">
        <v>0</v>
      </c>
      <c r="O517" s="2" t="inlineStr">
        <is>
          <t>ilda_final_B0, ilda_final_B1</t>
        </is>
      </c>
      <c r="P517" s="3" t="n">
        <v>12.432</v>
      </c>
      <c r="Q517" s="2" t="inlineStr">
        <is>
          <t>lasers</t>
        </is>
      </c>
    </row>
    <row r="518">
      <c r="A518" s="2" t="inlineStr">
        <is>
          <t>2026-10-15 13:42</t>
        </is>
      </c>
      <c r="B518" s="2" t="inlineStr">
        <is>
          <t>8a17da4 +modifs</t>
        </is>
      </c>
      <c r="C518" s="2" t="inlineStr">
        <is>
          <t>20. Lasers : lecture ILDA, mode ligne, 16 384 segments</t>
        </is>
      </c>
      <c r="D518" s="2" t="inlineStr">
        <is>
          <t>adaptive=0, en mouvement, banc rapide, 19 cas</t>
        </is>
      </c>
      <c r="E518" s="2" t="n">
        <v>2</v>
      </c>
      <c r="F518" s="2" t="inlineStr">
        <is>
          <t>L3 camera dans les nappes</t>
        </is>
      </c>
      <c r="G518" s="3" t="n">
        <v>12.095</v>
      </c>
      <c r="H518" s="4">
        <f>IF(G518&gt;0,1000/G518,"")</f>
        <v/>
      </c>
      <c r="I518" s="3" t="n">
        <v>11.1</v>
      </c>
      <c r="J518" s="3" t="n">
        <v>10.11</v>
      </c>
      <c r="K518" s="3" t="n">
        <v>0.756</v>
      </c>
      <c r="L518" s="3" t="n">
        <v>0.726</v>
      </c>
      <c r="M518" s="3" t="n"/>
      <c r="N518" s="2" t="n">
        <v>0</v>
      </c>
      <c r="O518" s="2" t="inlineStr">
        <is>
          <t>ilda_final_B0, ilda_final_B1</t>
        </is>
      </c>
      <c r="P518" s="3" t="n">
        <v>7.152</v>
      </c>
      <c r="Q518" s="2" t="inlineStr">
        <is>
          <t>lasers</t>
        </is>
      </c>
    </row>
    <row r="519">
      <c r="A519" s="2" t="inlineStr">
        <is>
          <t>2026-10-15 13:42</t>
        </is>
      </c>
      <c r="B519" s="2" t="inlineStr">
        <is>
          <t>8a17da4 +modifs</t>
        </is>
      </c>
      <c r="C519" s="2" t="inlineStr">
        <is>
          <t>20. Lasers : lecture ILDA, mode ligne, 16 384 segments</t>
        </is>
      </c>
      <c r="D519" s="2" t="inlineStr">
        <is>
          <t>adaptive=0, en mouvement, banc rapide, 19 cas</t>
        </is>
      </c>
      <c r="E519" s="2" t="n">
        <v>2</v>
      </c>
      <c r="F519" s="2" t="inlineStr">
        <is>
          <t>L4 200 x 8 traits separes / public</t>
        </is>
      </c>
      <c r="G519" s="3" t="n">
        <v>6.455</v>
      </c>
      <c r="H519" s="4">
        <f>IF(G519&gt;0,1000/G519,"")</f>
        <v/>
      </c>
      <c r="I519" s="3" t="n">
        <v>5.265</v>
      </c>
      <c r="J519" s="3" t="n">
        <v>4.56</v>
      </c>
      <c r="K519" s="3" t="n">
        <v>0.782</v>
      </c>
      <c r="L519" s="3" t="n">
        <v>0.659</v>
      </c>
      <c r="M519" s="3" t="n"/>
      <c r="N519" s="2" t="n">
        <v>0</v>
      </c>
      <c r="O519" s="2" t="inlineStr">
        <is>
          <t>ilda_final_B0, ilda_final_B1</t>
        </is>
      </c>
      <c r="P519" s="3" t="n">
        <v>1.616</v>
      </c>
      <c r="Q519" s="2" t="inlineStr">
        <is>
          <t>lasers</t>
        </is>
      </c>
    </row>
    <row r="520">
      <c r="A520" s="2" t="inlineStr">
        <is>
          <t>2026-10-15 13:42</t>
        </is>
      </c>
      <c r="B520" s="2" t="inlineStr">
        <is>
          <t>8a17da4 +modifs</t>
        </is>
      </c>
      <c r="C520" s="2" t="inlineStr">
        <is>
          <t>20. Lasers : lecture ILDA, mode ligne, 16 384 segments</t>
        </is>
      </c>
      <c r="D520" s="2" t="inlineStr">
        <is>
          <t>adaptive=0, en mouvement, banc rapide, 19 cas</t>
        </is>
      </c>
      <c r="E520" s="2" t="n">
        <v>2</v>
      </c>
      <c r="F520" s="2" t="inlineStr">
        <is>
          <t>L5 nappes en gros plan, fumee epaisse</t>
        </is>
      </c>
      <c r="G520" s="3" t="n">
        <v>12.81</v>
      </c>
      <c r="H520" s="4">
        <f>IF(G520&gt;0,1000/G520,"")</f>
        <v/>
      </c>
      <c r="I520" s="3" t="n">
        <v>11.81</v>
      </c>
      <c r="J520" s="3" t="n">
        <v>11.1</v>
      </c>
      <c r="K520" s="3" t="n">
        <v>0.796</v>
      </c>
      <c r="L520" s="3" t="n">
        <v>0.659</v>
      </c>
      <c r="M520" s="3" t="n"/>
      <c r="N520" s="2" t="n">
        <v>0</v>
      </c>
      <c r="O520" s="2" t="inlineStr">
        <is>
          <t>ilda_final_B0, ilda_final_B1</t>
        </is>
      </c>
      <c r="P520" s="3" t="n">
        <v>8.140000000000001</v>
      </c>
      <c r="Q520" s="2" t="inlineStr">
        <is>
          <t>lasers</t>
        </is>
      </c>
    </row>
    <row r="521">
      <c r="A521" s="2" t="inlineStr">
        <is>
          <t>2026-10-15 13:42</t>
        </is>
      </c>
      <c r="B521" s="2" t="inlineStr">
        <is>
          <t>8a17da4 +modifs</t>
        </is>
      </c>
      <c r="C521" s="2" t="inlineStr">
        <is>
          <t>20. Lasers : lecture ILDA, mode ligne, 16 384 segments</t>
        </is>
      </c>
      <c r="D521" s="2" t="inlineStr">
        <is>
          <t>adaptive=0, en mouvement, banc rapide, 19 cas</t>
        </is>
      </c>
      <c r="E521" s="2" t="n">
        <v>2</v>
      </c>
      <c r="F521" s="2" t="inlineStr">
        <is>
          <t>L6 traits vers le sol et les obstacles / public</t>
        </is>
      </c>
      <c r="G521" s="3" t="n">
        <v>15.98</v>
      </c>
      <c r="H521" s="4">
        <f>IF(G521&gt;0,1000/G521,"")</f>
        <v/>
      </c>
      <c r="I521" s="3" t="n">
        <v>15.365</v>
      </c>
      <c r="J521" s="3" t="n">
        <v>14.005</v>
      </c>
      <c r="K521" s="3" t="n">
        <v>0.796</v>
      </c>
      <c r="L521" s="3" t="n">
        <v>0.676</v>
      </c>
      <c r="M521" s="3" t="n"/>
      <c r="N521" s="2" t="n">
        <v>0</v>
      </c>
      <c r="O521" s="2" t="inlineStr">
        <is>
          <t>ilda_final_B0, ilda_final_B1</t>
        </is>
      </c>
      <c r="P521" s="3" t="n">
        <v>10.977</v>
      </c>
      <c r="Q521" s="2" t="inlineStr">
        <is>
          <t>lasers</t>
        </is>
      </c>
    </row>
    <row r="522">
      <c r="A522" s="2" t="inlineStr">
        <is>
          <t>2026-10-15 13:42</t>
        </is>
      </c>
      <c r="B522" s="2" t="inlineStr">
        <is>
          <t>8a17da4 +modifs</t>
        </is>
      </c>
      <c r="C522" s="2" t="inlineStr">
        <is>
          <t>20. Lasers : lecture ILDA, mode ligne, 16 384 segments</t>
        </is>
      </c>
      <c r="D522" s="2" t="inlineStr">
        <is>
          <t>adaptive=0, en mouvement, banc rapide, 19 cas</t>
        </is>
      </c>
      <c r="E522" s="2" t="n">
        <v>2</v>
      </c>
      <c r="F522" s="2" t="inlineStr">
        <is>
          <t>M1 100 lyres + 100 lasers / public</t>
        </is>
      </c>
      <c r="G522" s="3" t="n">
        <v>11.815</v>
      </c>
      <c r="H522" s="4">
        <f>IF(G522&gt;0,1000/G522,"")</f>
        <v/>
      </c>
      <c r="I522" s="3" t="n">
        <v>10.805</v>
      </c>
      <c r="J522" s="3" t="n">
        <v>10.6</v>
      </c>
      <c r="K522" s="3" t="n">
        <v>1.265</v>
      </c>
      <c r="L522" s="3" t="n">
        <v>1.418</v>
      </c>
      <c r="M522" s="3" t="n"/>
      <c r="N522" s="2" t="n">
        <v>48</v>
      </c>
      <c r="O522" s="2" t="inlineStr">
        <is>
          <t>ilda_final_B0, ilda_final_B1</t>
        </is>
      </c>
      <c r="P522" s="3" t="n">
        <v>5.158</v>
      </c>
      <c r="Q522" s="2" t="inlineStr">
        <is>
          <t>lasers</t>
        </is>
      </c>
    </row>
    <row r="523">
      <c r="A523" s="2" t="inlineStr">
        <is>
          <t>2026-10-15 13:42</t>
        </is>
      </c>
      <c r="B523" s="2" t="inlineStr">
        <is>
          <t>8a17da4 +modifs</t>
        </is>
      </c>
      <c r="C523" s="2" t="inlineStr">
        <is>
          <t>20. Lasers : lecture ILDA, mode ligne, 16 384 segments</t>
        </is>
      </c>
      <c r="D523" s="2" t="inlineStr">
        <is>
          <t>adaptive=0, en mouvement, banc rapide, 19 cas</t>
        </is>
      </c>
      <c r="E523" s="2" t="n">
        <v>2</v>
      </c>
      <c r="F523" s="2" t="inlineStr">
        <is>
          <t>M1 100 lyres + 100 lasers / scene</t>
        </is>
      </c>
      <c r="G523" s="3" t="n">
        <v>10.365</v>
      </c>
      <c r="H523" s="4">
        <f>IF(G523&gt;0,1000/G523,"")</f>
        <v/>
      </c>
      <c r="I523" s="3" t="n">
        <v>9.68</v>
      </c>
      <c r="J523" s="3" t="n">
        <v>8.505000000000001</v>
      </c>
      <c r="K523" s="3" t="n">
        <v>1.19</v>
      </c>
      <c r="L523" s="3" t="n">
        <v>1.361</v>
      </c>
      <c r="M523" s="3" t="n"/>
      <c r="N523" s="2" t="n">
        <v>48</v>
      </c>
      <c r="O523" s="2" t="inlineStr">
        <is>
          <t>ilda_final_B0, ilda_final_B1</t>
        </is>
      </c>
      <c r="P523" s="3" t="n">
        <v>3.696</v>
      </c>
      <c r="Q523" s="2" t="inlineStr">
        <is>
          <t>lasers</t>
        </is>
      </c>
    </row>
    <row r="524">
      <c r="A524" s="2" t="inlineStr">
        <is>
          <t>2026-10-15 13:42</t>
        </is>
      </c>
      <c r="B524" s="2" t="inlineStr">
        <is>
          <t>8a17da4 +modifs</t>
        </is>
      </c>
      <c r="C524" s="2" t="inlineStr">
        <is>
          <t>20. Lasers : lecture ILDA, mode ligne, 16 384 segments</t>
        </is>
      </c>
      <c r="D524" s="2" t="inlineStr">
        <is>
          <t>adaptive=0, en mouvement, banc rapide, 19 cas</t>
        </is>
      </c>
      <c r="E524" s="2" t="n">
        <v>2</v>
      </c>
      <c r="F524" s="2" t="inlineStr">
        <is>
          <t>M1 100 lyres + 100 lasers / sous les trusses</t>
        </is>
      </c>
      <c r="G524" s="3" t="n">
        <v>10.35</v>
      </c>
      <c r="H524" s="4">
        <f>IF(G524&gt;0,1000/G524,"")</f>
        <v/>
      </c>
      <c r="I524" s="3" t="n">
        <v>9.664999999999999</v>
      </c>
      <c r="J524" s="3" t="n">
        <v>8.529999999999999</v>
      </c>
      <c r="K524" s="3" t="n">
        <v>0.925</v>
      </c>
      <c r="L524" s="3" t="n">
        <v>1.317</v>
      </c>
      <c r="M524" s="3" t="n"/>
      <c r="N524" s="2" t="n">
        <v>48</v>
      </c>
      <c r="O524" s="2" t="inlineStr">
        <is>
          <t>ilda_final_B0, ilda_final_B1</t>
        </is>
      </c>
      <c r="P524" s="3" t="n">
        <v>3.957</v>
      </c>
      <c r="Q524" s="2" t="inlineStr">
        <is>
          <t>lasers</t>
        </is>
      </c>
    </row>
    <row r="525">
      <c r="A525" s="2" t="inlineStr">
        <is>
          <t>2026-10-15 13:42</t>
        </is>
      </c>
      <c r="B525" s="2" t="inlineStr">
        <is>
          <t>8a17da4 +modifs</t>
        </is>
      </c>
      <c r="C525" s="2" t="inlineStr">
        <is>
          <t>20. Lasers : lecture ILDA, mode ligne, 16 384 segments</t>
        </is>
      </c>
      <c r="D525" s="2" t="inlineStr">
        <is>
          <t>adaptive=0, en mouvement, banc rapide, 19 cas</t>
        </is>
      </c>
      <c r="E525" s="2" t="n">
        <v>2</v>
      </c>
      <c r="F525" s="2" t="inlineStr">
        <is>
          <t>sans lasers (scene seule) / public</t>
        </is>
      </c>
      <c r="G525" s="3" t="n">
        <v>4.735</v>
      </c>
      <c r="H525" s="4">
        <f>IF(G525&gt;0,1000/G525,"")</f>
        <v/>
      </c>
      <c r="I525" s="3" t="n">
        <v>3.105</v>
      </c>
      <c r="J525" s="3" t="n">
        <v>2.585</v>
      </c>
      <c r="K525" s="3" t="n">
        <v>0.78</v>
      </c>
      <c r="L525" s="3" t="n">
        <v>0.659</v>
      </c>
      <c r="M525" s="3" t="n"/>
      <c r="N525" s="2" t="n">
        <v>0</v>
      </c>
      <c r="O525" s="2" t="inlineStr">
        <is>
          <t>ilda_final_B0, ilda_final_B1</t>
        </is>
      </c>
      <c r="P525" s="3" t="n"/>
      <c r="Q525" s="2" t="inlineStr">
        <is>
          <t>lasers</t>
        </is>
      </c>
    </row>
    <row r="526">
      <c r="A526" s="2" t="inlineStr">
        <is>
          <t>2026-10-15 13:42</t>
        </is>
      </c>
      <c r="B526" s="2" t="inlineStr">
        <is>
          <t>8a17da4 +modifs</t>
        </is>
      </c>
      <c r="C526" s="2" t="inlineStr">
        <is>
          <t>20. Lasers : lecture ILDA, mode ligne, 16 384 segments</t>
        </is>
      </c>
      <c r="D526" s="2" t="inlineStr">
        <is>
          <t>adaptive=0, en mouvement, banc rapide, 19 cas</t>
        </is>
      </c>
      <c r="E526" s="2" t="n">
        <v>2</v>
      </c>
      <c r="F526" s="2" t="inlineStr">
        <is>
          <t>L7 programmeur : formes, degrades, effets / public</t>
        </is>
      </c>
      <c r="G526" s="3" t="n">
        <v>25.37</v>
      </c>
      <c r="H526" s="4">
        <f>IF(G526&gt;0,1000/G526,"")</f>
        <v/>
      </c>
      <c r="I526" s="3" t="n">
        <v>24.405</v>
      </c>
      <c r="J526" s="3" t="n">
        <v>23.94</v>
      </c>
      <c r="K526" s="3" t="n">
        <v>0.763</v>
      </c>
      <c r="L526" s="3" t="n">
        <v>0.667</v>
      </c>
      <c r="M526" s="3" t="n"/>
      <c r="N526" s="2" t="n">
        <v>0</v>
      </c>
      <c r="O526" s="2" t="inlineStr">
        <is>
          <t>ilda_final_B0, ilda_final_B1</t>
        </is>
      </c>
      <c r="P526" s="3" t="n">
        <v>20.433</v>
      </c>
      <c r="Q526" s="2" t="inlineStr">
        <is>
          <t>lasers</t>
        </is>
      </c>
    </row>
    <row r="527">
      <c r="A527" s="2" t="inlineStr">
        <is>
          <t>2026-10-15 13:42</t>
        </is>
      </c>
      <c r="B527" s="2" t="inlineStr">
        <is>
          <t>8a17da4 +modifs</t>
        </is>
      </c>
      <c r="C527" s="2" t="inlineStr">
        <is>
          <t>20. Lasers : lecture ILDA, mode ligne, 16 384 segments</t>
        </is>
      </c>
      <c r="D527" s="2" t="inlineStr">
        <is>
          <t>adaptive=0, en mouvement, banc rapide, 19 cas</t>
        </is>
      </c>
      <c r="E527" s="2" t="n">
        <v>2</v>
      </c>
      <c r="F527" s="2" t="inlineStr">
        <is>
          <t>I1 ILDA nappes (banque Nappes) / public</t>
        </is>
      </c>
      <c r="G527" s="3" t="n">
        <v>37.905</v>
      </c>
      <c r="H527" s="4">
        <f>IF(G527&gt;0,1000/G527,"")</f>
        <v/>
      </c>
      <c r="I527" s="3" t="n">
        <v>36.825</v>
      </c>
      <c r="J527" s="3" t="n">
        <v>36.33</v>
      </c>
      <c r="K527" s="3" t="n">
        <v>0.724</v>
      </c>
      <c r="L527" s="3" t="n">
        <v>0.663</v>
      </c>
      <c r="M527" s="3" t="n"/>
      <c r="N527" s="2" t="n">
        <v>0</v>
      </c>
      <c r="O527" s="2" t="inlineStr">
        <is>
          <t>ilda_final_B0, ilda_final_B1</t>
        </is>
      </c>
      <c r="P527" s="3" t="n">
        <v>32.599</v>
      </c>
      <c r="Q527" s="2" t="inlineStr">
        <is>
          <t>lasers</t>
        </is>
      </c>
    </row>
    <row r="528">
      <c r="A528" s="2" t="inlineStr">
        <is>
          <t>2026-10-15 13:42</t>
        </is>
      </c>
      <c r="B528" s="2" t="inlineStr">
        <is>
          <t>8a17da4 +modifs</t>
        </is>
      </c>
      <c r="C528" s="2" t="inlineStr">
        <is>
          <t>20. Lasers : lecture ILDA, mode ligne, 16 384 segments</t>
        </is>
      </c>
      <c r="D528" s="2" t="inlineStr">
        <is>
          <t>adaptive=0, en mouvement, banc rapide, 19 cas</t>
        </is>
      </c>
      <c r="E528" s="2" t="n">
        <v>2</v>
      </c>
      <c r="F528" s="2" t="inlineStr">
        <is>
          <t>I2 ILDA faisceaux (banque Faisceaux) / public</t>
        </is>
      </c>
      <c r="G528" s="3" t="n">
        <v>7.17</v>
      </c>
      <c r="H528" s="4">
        <f>IF(G528&gt;0,1000/G528,"")</f>
        <v/>
      </c>
      <c r="I528" s="3" t="n">
        <v>5.685</v>
      </c>
      <c r="J528" s="3" t="n">
        <v>5.07</v>
      </c>
      <c r="K528" s="3" t="n">
        <v>0.782</v>
      </c>
      <c r="L528" s="3" t="n">
        <v>0.659</v>
      </c>
      <c r="M528" s="3" t="n"/>
      <c r="N528" s="2" t="n">
        <v>0</v>
      </c>
      <c r="O528" s="2" t="inlineStr">
        <is>
          <t>ilda_final_B0, ilda_final_B1</t>
        </is>
      </c>
      <c r="P528" s="3" t="n">
        <v>2.051</v>
      </c>
      <c r="Q528" s="2" t="inlineStr">
        <is>
          <t>lasers</t>
        </is>
      </c>
    </row>
    <row r="529">
      <c r="A529" s="2" t="inlineStr">
        <is>
          <t>2026-10-15 13:42</t>
        </is>
      </c>
      <c r="B529" s="2" t="inlineStr">
        <is>
          <t>8a17da4 +modifs</t>
        </is>
      </c>
      <c r="C529" s="2" t="inlineStr">
        <is>
          <t>20. Lasers : lecture ILDA, mode ligne, 16 384 segments</t>
        </is>
      </c>
      <c r="D529" s="2" t="inlineStr">
        <is>
          <t>adaptive=0, en mouvement, banc rapide, 19 cas</t>
        </is>
      </c>
      <c r="E529" s="2" t="n">
        <v>2</v>
      </c>
      <c r="F529" s="2" t="inlineStr">
        <is>
          <t>I3 ILDA geometrie (banque Geometrie) / public</t>
        </is>
      </c>
      <c r="G529" s="3" t="n">
        <v>54.68</v>
      </c>
      <c r="H529" s="4">
        <f>IF(G529&gt;0,1000/G529,"")</f>
        <v/>
      </c>
      <c r="I529" s="3" t="n">
        <v>53.71</v>
      </c>
      <c r="J529" s="3" t="n">
        <v>53.26</v>
      </c>
      <c r="K529" s="3" t="n">
        <v>0.73</v>
      </c>
      <c r="L529" s="3" t="n">
        <v>0.665</v>
      </c>
      <c r="M529" s="3" t="n"/>
      <c r="N529" s="2" t="n">
        <v>0</v>
      </c>
      <c r="O529" s="2" t="inlineStr">
        <is>
          <t>ilda_final_B0, ilda_final_B1</t>
        </is>
      </c>
      <c r="P529" s="3" t="n">
        <v>49.669</v>
      </c>
      <c r="Q529" s="2" t="inlineStr">
        <is>
          <t>lasers</t>
        </is>
      </c>
    </row>
    <row r="530">
      <c r="A530" s="2" t="inlineStr">
        <is>
          <t>2026-10-15 13:42</t>
        </is>
      </c>
      <c r="B530" s="2" t="inlineStr">
        <is>
          <t>8a17da4 +modifs</t>
        </is>
      </c>
      <c r="C530" s="2" t="inlineStr">
        <is>
          <t>20. Lasers : lecture ILDA, mode ligne, 16 384 segments</t>
        </is>
      </c>
      <c r="D530" s="2" t="inlineStr">
        <is>
          <t>adaptive=0, en mouvement, banc rapide, 19 cas</t>
        </is>
      </c>
      <c r="E530" s="2" t="n">
        <v>2</v>
      </c>
      <c r="F530" s="2" t="inlineStr">
        <is>
          <t>I4 ILDA tunnels (banque Tunnels) / public</t>
        </is>
      </c>
      <c r="G530" s="3" t="n">
        <v>39.665</v>
      </c>
      <c r="H530" s="4">
        <f>IF(G530&gt;0,1000/G530,"")</f>
        <v/>
      </c>
      <c r="I530" s="3" t="n">
        <v>38.56</v>
      </c>
      <c r="J530" s="3" t="n">
        <v>37.815</v>
      </c>
      <c r="K530" s="3" t="n">
        <v>0.821</v>
      </c>
      <c r="L530" s="3" t="n">
        <v>0.6919999999999999</v>
      </c>
      <c r="M530" s="3" t="n"/>
      <c r="N530" s="2" t="n">
        <v>0</v>
      </c>
      <c r="O530" s="2" t="inlineStr">
        <is>
          <t>ilda_final_B0, ilda_final_B1</t>
        </is>
      </c>
      <c r="P530" s="3" t="n">
        <v>34.234</v>
      </c>
      <c r="Q530" s="2" t="inlineStr">
        <is>
          <t>lasers</t>
        </is>
      </c>
    </row>
    <row r="531">
      <c r="A531" s="2" t="inlineStr">
        <is>
          <t>2026-10-15 13:42</t>
        </is>
      </c>
      <c r="B531" s="2" t="inlineStr">
        <is>
          <t>8a17da4 +modifs</t>
        </is>
      </c>
      <c r="C531" s="2" t="inlineStr">
        <is>
          <t>20. Lasers : lecture ILDA, mode ligne, 16 384 segments</t>
        </is>
      </c>
      <c r="D531" s="2" t="inlineStr">
        <is>
          <t>adaptive=0, en mouvement, banc rapide, 19 cas</t>
        </is>
      </c>
      <c r="E531" s="2" t="n">
        <v>2</v>
      </c>
      <c r="F531" s="2" t="inlineStr">
        <is>
          <t>L1 en mode ligne (nappes continues) / public</t>
        </is>
      </c>
      <c r="G531" s="3" t="n">
        <v>13.895</v>
      </c>
      <c r="H531" s="4">
        <f>IF(G531&gt;0,1000/G531,"")</f>
        <v/>
      </c>
      <c r="I531" s="3" t="n">
        <v>13.085</v>
      </c>
      <c r="J531" s="3" t="n">
        <v>11.775</v>
      </c>
      <c r="K531" s="3" t="n">
        <v>0.795</v>
      </c>
      <c r="L531" s="3" t="n">
        <v>0.669</v>
      </c>
      <c r="M531" s="3" t="n"/>
      <c r="N531" s="2" t="n">
        <v>0</v>
      </c>
      <c r="O531" s="2" t="inlineStr">
        <is>
          <t>ilda_final_B0, ilda_final_B1</t>
        </is>
      </c>
      <c r="P531" s="3" t="n">
        <v>8.747</v>
      </c>
      <c r="Q531" s="2" t="inlineStr">
        <is>
          <t>lasers</t>
        </is>
      </c>
    </row>
    <row r="532">
      <c r="A532" s="2" t="inlineStr">
        <is>
          <t>2026-10-15 13:42</t>
        </is>
      </c>
      <c r="B532" s="2" t="inlineStr">
        <is>
          <t>8a17da4 +modifs</t>
        </is>
      </c>
      <c r="C532" s="2" t="inlineStr">
        <is>
          <t>20a. Essai ecarte : variante nappes et traits seuls (coupee)</t>
        </is>
      </c>
      <c r="D532" s="2" t="inlineStr">
        <is>
          <t>adaptive=0, lasersmooth=0, immobile, banc rapide, 19 cas</t>
        </is>
      </c>
      <c r="E532" s="2" t="n">
        <v>2</v>
      </c>
      <c r="F532" s="2" t="inlineStr">
        <is>
          <t>L1 eventails 200 x 1000 traits / public</t>
        </is>
      </c>
      <c r="G532" s="3" t="n">
        <v>13.45</v>
      </c>
      <c r="H532" s="4">
        <f>IF(G532&gt;0,1000/G532,"")</f>
        <v/>
      </c>
      <c r="I532" s="3" t="n">
        <v>12.575</v>
      </c>
      <c r="J532" s="3" t="n">
        <v>11.57</v>
      </c>
      <c r="K532" s="3" t="n">
        <v>0.549</v>
      </c>
      <c r="L532" s="3" t="n">
        <v>0.639</v>
      </c>
      <c r="M532" s="3" t="n"/>
      <c r="N532" s="2" t="n">
        <v>0</v>
      </c>
      <c r="O532" s="2" t="inlineStr">
        <is>
          <t>ilda_smooth_A0, ilda_smooth_A1</t>
        </is>
      </c>
      <c r="P532" s="3" t="n">
        <v>8.596</v>
      </c>
      <c r="Q532" s="2" t="inlineStr">
        <is>
          <t>lasers</t>
        </is>
      </c>
    </row>
    <row r="533">
      <c r="A533" s="2" t="inlineStr">
        <is>
          <t>2026-10-15 13:42</t>
        </is>
      </c>
      <c r="B533" s="2" t="inlineStr">
        <is>
          <t>8a17da4 +modifs</t>
        </is>
      </c>
      <c r="C533" s="2" t="inlineStr">
        <is>
          <t>20a. Essai ecarte : variante nappes et traits seuls (coupee)</t>
        </is>
      </c>
      <c r="D533" s="2" t="inlineStr">
        <is>
          <t>adaptive=0, lasersmooth=0, immobile, banc rapide, 19 cas</t>
        </is>
      </c>
      <c r="E533" s="2" t="n">
        <v>2</v>
      </c>
      <c r="F533" s="2" t="inlineStr">
        <is>
          <t>L1 eventails 200 x 1000 traits / scene</t>
        </is>
      </c>
      <c r="G533" s="3" t="n">
        <v>11.885</v>
      </c>
      <c r="H533" s="4">
        <f>IF(G533&gt;0,1000/G533,"")</f>
        <v/>
      </c>
      <c r="I533" s="3" t="n">
        <v>11.03</v>
      </c>
      <c r="J533" s="3" t="n">
        <v>10.685</v>
      </c>
      <c r="K533" s="3" t="n">
        <v>0.8</v>
      </c>
      <c r="L533" s="3" t="n">
        <v>0.718</v>
      </c>
      <c r="M533" s="3" t="n"/>
      <c r="N533" s="2" t="n">
        <v>0</v>
      </c>
      <c r="O533" s="2" t="inlineStr">
        <is>
          <t>ilda_smooth_A0, ilda_smooth_A1</t>
        </is>
      </c>
      <c r="P533" s="3" t="n">
        <v>7.642</v>
      </c>
      <c r="Q533" s="2" t="inlineStr">
        <is>
          <t>lasers</t>
        </is>
      </c>
    </row>
    <row r="534">
      <c r="A534" s="2" t="inlineStr">
        <is>
          <t>2026-10-15 13:42</t>
        </is>
      </c>
      <c r="B534" s="2" t="inlineStr">
        <is>
          <t>8a17da4 +modifs</t>
        </is>
      </c>
      <c r="C534" s="2" t="inlineStr">
        <is>
          <t>20a. Essai ecarte : variante nappes et traits seuls (coupee)</t>
        </is>
      </c>
      <c r="D534" s="2" t="inlineStr">
        <is>
          <t>adaptive=0, lasersmooth=0, immobile, banc rapide, 19 cas</t>
        </is>
      </c>
      <c r="E534" s="2" t="n">
        <v>2</v>
      </c>
      <c r="F534" s="2" t="inlineStr">
        <is>
          <t>L1 eventails 200 x 1000 traits / sous les trusses</t>
        </is>
      </c>
      <c r="G534" s="3" t="n">
        <v>11.515</v>
      </c>
      <c r="H534" s="4">
        <f>IF(G534&gt;0,1000/G534,"")</f>
        <v/>
      </c>
      <c r="I534" s="3" t="n">
        <v>10.77</v>
      </c>
      <c r="J534" s="3" t="n">
        <v>9.92</v>
      </c>
      <c r="K534" s="3" t="n">
        <v>0.6889999999999999</v>
      </c>
      <c r="L534" s="3" t="n">
        <v>0.798</v>
      </c>
      <c r="M534" s="3" t="n"/>
      <c r="N534" s="2" t="n">
        <v>0</v>
      </c>
      <c r="O534" s="2" t="inlineStr">
        <is>
          <t>ilda_smooth_A0, ilda_smooth_A1</t>
        </is>
      </c>
      <c r="P534" s="3" t="n">
        <v>6.922</v>
      </c>
      <c r="Q534" s="2" t="inlineStr">
        <is>
          <t>lasers</t>
        </is>
      </c>
    </row>
    <row r="535">
      <c r="A535" s="2" t="inlineStr">
        <is>
          <t>2026-10-15 13:42</t>
        </is>
      </c>
      <c r="B535" s="2" t="inlineStr">
        <is>
          <t>8a17da4 +modifs</t>
        </is>
      </c>
      <c r="C535" s="2" t="inlineStr">
        <is>
          <t>20a. Essai ecarte : variante nappes et traits seuls (coupee)</t>
        </is>
      </c>
      <c r="D535" s="2" t="inlineStr">
        <is>
          <t>adaptive=0, lasersmooth=0, immobile, banc rapide, 19 cas</t>
        </is>
      </c>
      <c r="E535" s="2" t="n">
        <v>2</v>
      </c>
      <c r="F535" s="2" t="inlineStr">
        <is>
          <t>L2 cones 200 x 32 segments / public</t>
        </is>
      </c>
      <c r="G535" s="3" t="n">
        <v>16.98</v>
      </c>
      <c r="H535" s="4">
        <f>IF(G535&gt;0,1000/G535,"")</f>
        <v/>
      </c>
      <c r="I535" s="3" t="n">
        <v>16.07</v>
      </c>
      <c r="J535" s="3" t="n">
        <v>15.905</v>
      </c>
      <c r="K535" s="3" t="n">
        <v>0.6820000000000001</v>
      </c>
      <c r="L535" s="3" t="n">
        <v>0.663</v>
      </c>
      <c r="M535" s="3" t="n"/>
      <c r="N535" s="2" t="n">
        <v>0</v>
      </c>
      <c r="O535" s="2" t="inlineStr">
        <is>
          <t>ilda_smooth_A0, ilda_smooth_A1</t>
        </is>
      </c>
      <c r="P535" s="3" t="n">
        <v>12.918</v>
      </c>
      <c r="Q535" s="2" t="inlineStr">
        <is>
          <t>lasers</t>
        </is>
      </c>
    </row>
    <row r="536">
      <c r="A536" s="2" t="inlineStr">
        <is>
          <t>2026-10-15 13:42</t>
        </is>
      </c>
      <c r="B536" s="2" t="inlineStr">
        <is>
          <t>8a17da4 +modifs</t>
        </is>
      </c>
      <c r="C536" s="2" t="inlineStr">
        <is>
          <t>20a. Essai ecarte : variante nappes et traits seuls (coupee)</t>
        </is>
      </c>
      <c r="D536" s="2" t="inlineStr">
        <is>
          <t>adaptive=0, lasersmooth=0, immobile, banc rapide, 19 cas</t>
        </is>
      </c>
      <c r="E536" s="2" t="n">
        <v>2</v>
      </c>
      <c r="F536" s="2" t="inlineStr">
        <is>
          <t>L2 cones 200 x 32 segments / scene</t>
        </is>
      </c>
      <c r="G536" s="3" t="n">
        <v>17.605</v>
      </c>
      <c r="H536" s="4">
        <f>IF(G536&gt;0,1000/G536,"")</f>
        <v/>
      </c>
      <c r="I536" s="3" t="n">
        <v>16.385</v>
      </c>
      <c r="J536" s="3" t="n">
        <v>15.935</v>
      </c>
      <c r="K536" s="3" t="n">
        <v>0.806</v>
      </c>
      <c r="L536" s="3" t="n">
        <v>0.724</v>
      </c>
      <c r="M536" s="3" t="n"/>
      <c r="N536" s="2" t="n">
        <v>0</v>
      </c>
      <c r="O536" s="2" t="inlineStr">
        <is>
          <t>ilda_smooth_A0, ilda_smooth_A1</t>
        </is>
      </c>
      <c r="P536" s="3" t="n">
        <v>12.783</v>
      </c>
      <c r="Q536" s="2" t="inlineStr">
        <is>
          <t>lasers</t>
        </is>
      </c>
    </row>
    <row r="537">
      <c r="A537" s="2" t="inlineStr">
        <is>
          <t>2026-10-15 13:42</t>
        </is>
      </c>
      <c r="B537" s="2" t="inlineStr">
        <is>
          <t>8a17da4 +modifs</t>
        </is>
      </c>
      <c r="C537" s="2" t="inlineStr">
        <is>
          <t>20a. Essai ecarte : variante nappes et traits seuls (coupee)</t>
        </is>
      </c>
      <c r="D537" s="2" t="inlineStr">
        <is>
          <t>adaptive=0, lasersmooth=0, immobile, banc rapide, 19 cas</t>
        </is>
      </c>
      <c r="E537" s="2" t="n">
        <v>2</v>
      </c>
      <c r="F537" s="2" t="inlineStr">
        <is>
          <t>L3 camera dans les nappes</t>
        </is>
      </c>
      <c r="G537" s="3" t="n">
        <v>12.54</v>
      </c>
      <c r="H537" s="4">
        <f>IF(G537&gt;0,1000/G537,"")</f>
        <v/>
      </c>
      <c r="I537" s="3" t="n">
        <v>11.46</v>
      </c>
      <c r="J537" s="3" t="n">
        <v>11.065</v>
      </c>
      <c r="K537" s="3" t="n">
        <v>0.76</v>
      </c>
      <c r="L537" s="3" t="n">
        <v>0.728</v>
      </c>
      <c r="M537" s="3" t="n"/>
      <c r="N537" s="2" t="n">
        <v>0</v>
      </c>
      <c r="O537" s="2" t="inlineStr">
        <is>
          <t>ilda_smooth_A0, ilda_smooth_A1</t>
        </is>
      </c>
      <c r="P537" s="3" t="n">
        <v>8.035</v>
      </c>
      <c r="Q537" s="2" t="inlineStr">
        <is>
          <t>lasers</t>
        </is>
      </c>
    </row>
    <row r="538">
      <c r="A538" s="2" t="inlineStr">
        <is>
          <t>2026-10-15 13:42</t>
        </is>
      </c>
      <c r="B538" s="2" t="inlineStr">
        <is>
          <t>8a17da4 +modifs</t>
        </is>
      </c>
      <c r="C538" s="2" t="inlineStr">
        <is>
          <t>20a. Essai ecarte : variante nappes et traits seuls (coupee)</t>
        </is>
      </c>
      <c r="D538" s="2" t="inlineStr">
        <is>
          <t>adaptive=0, lasersmooth=0, immobile, banc rapide, 19 cas</t>
        </is>
      </c>
      <c r="E538" s="2" t="n">
        <v>2</v>
      </c>
      <c r="F538" s="2" t="inlineStr">
        <is>
          <t>L4 200 x 8 traits separes / public</t>
        </is>
      </c>
      <c r="G538" s="3" t="n">
        <v>7.78</v>
      </c>
      <c r="H538" s="4">
        <f>IF(G538&gt;0,1000/G538,"")</f>
        <v/>
      </c>
      <c r="I538" s="3" t="n">
        <v>7.1</v>
      </c>
      <c r="J538" s="3" t="n">
        <v>5.51</v>
      </c>
      <c r="K538" s="3" t="n">
        <v>0.544</v>
      </c>
      <c r="L538" s="3" t="n">
        <v>1.559</v>
      </c>
      <c r="M538" s="3" t="n"/>
      <c r="N538" s="2" t="n">
        <v>0</v>
      </c>
      <c r="O538" s="2" t="inlineStr">
        <is>
          <t>ilda_smooth_A0, ilda_smooth_A1</t>
        </is>
      </c>
      <c r="P538" s="3" t="n">
        <v>1.603</v>
      </c>
      <c r="Q538" s="2" t="inlineStr">
        <is>
          <t>lasers</t>
        </is>
      </c>
    </row>
    <row r="539">
      <c r="A539" s="2" t="inlineStr">
        <is>
          <t>2026-10-15 13:42</t>
        </is>
      </c>
      <c r="B539" s="2" t="inlineStr">
        <is>
          <t>8a17da4 +modifs</t>
        </is>
      </c>
      <c r="C539" s="2" t="inlineStr">
        <is>
          <t>20a. Essai ecarte : variante nappes et traits seuls (coupee)</t>
        </is>
      </c>
      <c r="D539" s="2" t="inlineStr">
        <is>
          <t>adaptive=0, lasersmooth=0, immobile, banc rapide, 19 cas</t>
        </is>
      </c>
      <c r="E539" s="2" t="n">
        <v>2</v>
      </c>
      <c r="F539" s="2" t="inlineStr">
        <is>
          <t>L5 nappes en gros plan, fumee epaisse</t>
        </is>
      </c>
      <c r="G539" s="3" t="n">
        <v>12.19</v>
      </c>
      <c r="H539" s="4">
        <f>IF(G539&gt;0,1000/G539,"")</f>
        <v/>
      </c>
      <c r="I539" s="3" t="n">
        <v>11.21</v>
      </c>
      <c r="J539" s="3" t="n">
        <v>11.01</v>
      </c>
      <c r="K539" s="3" t="n">
        <v>0.704</v>
      </c>
      <c r="L539" s="3" t="n">
        <v>0.652</v>
      </c>
      <c r="M539" s="3" t="n"/>
      <c r="N539" s="2" t="n">
        <v>0</v>
      </c>
      <c r="O539" s="2" t="inlineStr">
        <is>
          <t>ilda_smooth_A0, ilda_smooth_A1</t>
        </is>
      </c>
      <c r="P539" s="3" t="n">
        <v>7.926</v>
      </c>
      <c r="Q539" s="2" t="inlineStr">
        <is>
          <t>lasers</t>
        </is>
      </c>
    </row>
    <row r="540">
      <c r="A540" s="2" t="inlineStr">
        <is>
          <t>2026-10-15 13:42</t>
        </is>
      </c>
      <c r="B540" s="2" t="inlineStr">
        <is>
          <t>8a17da4 +modifs</t>
        </is>
      </c>
      <c r="C540" s="2" t="inlineStr">
        <is>
          <t>20a. Essai ecarte : variante nappes et traits seuls (coupee)</t>
        </is>
      </c>
      <c r="D540" s="2" t="inlineStr">
        <is>
          <t>adaptive=0, lasersmooth=0, immobile, banc rapide, 19 cas</t>
        </is>
      </c>
      <c r="E540" s="2" t="n">
        <v>2</v>
      </c>
      <c r="F540" s="2" t="inlineStr">
        <is>
          <t>L6 traits vers le sol et les obstacles / public</t>
        </is>
      </c>
      <c r="G540" s="3" t="n">
        <v>15.565</v>
      </c>
      <c r="H540" s="4">
        <f>IF(G540&gt;0,1000/G540,"")</f>
        <v/>
      </c>
      <c r="I540" s="3" t="n">
        <v>14.735</v>
      </c>
      <c r="J540" s="3" t="n">
        <v>13.8</v>
      </c>
      <c r="K540" s="3" t="n">
        <v>0.798</v>
      </c>
      <c r="L540" s="3" t="n">
        <v>0.677</v>
      </c>
      <c r="M540" s="3" t="n"/>
      <c r="N540" s="2" t="n">
        <v>0</v>
      </c>
      <c r="O540" s="2" t="inlineStr">
        <is>
          <t>ilda_smooth_A0, ilda_smooth_A1</t>
        </is>
      </c>
      <c r="P540" s="3" t="n">
        <v>10.623</v>
      </c>
      <c r="Q540" s="2" t="inlineStr">
        <is>
          <t>lasers</t>
        </is>
      </c>
    </row>
    <row r="541">
      <c r="A541" s="2" t="inlineStr">
        <is>
          <t>2026-10-15 13:42</t>
        </is>
      </c>
      <c r="B541" s="2" t="inlineStr">
        <is>
          <t>8a17da4 +modifs</t>
        </is>
      </c>
      <c r="C541" s="2" t="inlineStr">
        <is>
          <t>20a. Essai ecarte : variante nappes et traits seuls (coupee)</t>
        </is>
      </c>
      <c r="D541" s="2" t="inlineStr">
        <is>
          <t>adaptive=0, lasersmooth=0, immobile, banc rapide, 19 cas</t>
        </is>
      </c>
      <c r="E541" s="2" t="n">
        <v>2</v>
      </c>
      <c r="F541" s="2" t="inlineStr">
        <is>
          <t>M1 100 lyres + 100 lasers / public</t>
        </is>
      </c>
      <c r="G541" s="3" t="n">
        <v>11.315</v>
      </c>
      <c r="H541" s="4">
        <f>IF(G541&gt;0,1000/G541,"")</f>
        <v/>
      </c>
      <c r="I541" s="3" t="n">
        <v>10.485</v>
      </c>
      <c r="J541" s="3" t="n">
        <v>9.605</v>
      </c>
      <c r="K541" s="3" t="n">
        <v>1.231</v>
      </c>
      <c r="L541" s="3" t="n">
        <v>1.402</v>
      </c>
      <c r="M541" s="3" t="n"/>
      <c r="N541" s="2" t="n">
        <v>49</v>
      </c>
      <c r="O541" s="2" t="inlineStr">
        <is>
          <t>ilda_smooth_A0, ilda_smooth_A1</t>
        </is>
      </c>
      <c r="P541" s="3" t="n">
        <v>4.773</v>
      </c>
      <c r="Q541" s="2" t="inlineStr">
        <is>
          <t>lasers</t>
        </is>
      </c>
    </row>
    <row r="542">
      <c r="A542" s="2" t="inlineStr">
        <is>
          <t>2026-10-15 13:42</t>
        </is>
      </c>
      <c r="B542" s="2" t="inlineStr">
        <is>
          <t>8a17da4 +modifs</t>
        </is>
      </c>
      <c r="C542" s="2" t="inlineStr">
        <is>
          <t>20a. Essai ecarte : variante nappes et traits seuls (coupee)</t>
        </is>
      </c>
      <c r="D542" s="2" t="inlineStr">
        <is>
          <t>adaptive=0, lasersmooth=0, immobile, banc rapide, 19 cas</t>
        </is>
      </c>
      <c r="E542" s="2" t="n">
        <v>2</v>
      </c>
      <c r="F542" s="2" t="inlineStr">
        <is>
          <t>M1 100 lyres + 100 lasers / scene</t>
        </is>
      </c>
      <c r="G542" s="3" t="n">
        <v>10.375</v>
      </c>
      <c r="H542" s="4">
        <f>IF(G542&gt;0,1000/G542,"")</f>
        <v/>
      </c>
      <c r="I542" s="3" t="n">
        <v>9.630000000000001</v>
      </c>
      <c r="J542" s="3" t="n">
        <v>8.765000000000001</v>
      </c>
      <c r="K542" s="3" t="n">
        <v>1.166</v>
      </c>
      <c r="L542" s="3" t="n">
        <v>1.384</v>
      </c>
      <c r="M542" s="3" t="n"/>
      <c r="N542" s="2" t="n">
        <v>49</v>
      </c>
      <c r="O542" s="2" t="inlineStr">
        <is>
          <t>ilda_smooth_A0, ilda_smooth_A1</t>
        </is>
      </c>
      <c r="P542" s="3" t="n">
        <v>3.96</v>
      </c>
      <c r="Q542" s="2" t="inlineStr">
        <is>
          <t>lasers</t>
        </is>
      </c>
    </row>
    <row r="543">
      <c r="A543" s="2" t="inlineStr">
        <is>
          <t>2026-10-15 13:42</t>
        </is>
      </c>
      <c r="B543" s="2" t="inlineStr">
        <is>
          <t>8a17da4 +modifs</t>
        </is>
      </c>
      <c r="C543" s="2" t="inlineStr">
        <is>
          <t>20a. Essai ecarte : variante nappes et traits seuls (coupee)</t>
        </is>
      </c>
      <c r="D543" s="2" t="inlineStr">
        <is>
          <t>adaptive=0, lasersmooth=0, immobile, banc rapide, 19 cas</t>
        </is>
      </c>
      <c r="E543" s="2" t="n">
        <v>2</v>
      </c>
      <c r="F543" s="2" t="inlineStr">
        <is>
          <t>M1 100 lyres + 100 lasers / sous les trusses</t>
        </is>
      </c>
      <c r="G543" s="3" t="n">
        <v>10.275</v>
      </c>
      <c r="H543" s="4">
        <f>IF(G543&gt;0,1000/G543,"")</f>
        <v/>
      </c>
      <c r="I543" s="3" t="n">
        <v>8.199999999999999</v>
      </c>
      <c r="J543" s="3" t="n">
        <v>7.995</v>
      </c>
      <c r="K543" s="3" t="n">
        <v>0.909</v>
      </c>
      <c r="L543" s="3" t="n">
        <v>1.284</v>
      </c>
      <c r="M543" s="3" t="n"/>
      <c r="N543" s="2" t="n">
        <v>49</v>
      </c>
      <c r="O543" s="2" t="inlineStr">
        <is>
          <t>ilda_smooth_A0, ilda_smooth_A1</t>
        </is>
      </c>
      <c r="P543" s="3" t="n">
        <v>3.538</v>
      </c>
      <c r="Q543" s="2" t="inlineStr">
        <is>
          <t>lasers</t>
        </is>
      </c>
    </row>
    <row r="544">
      <c r="A544" s="2" t="inlineStr">
        <is>
          <t>2026-10-15 13:42</t>
        </is>
      </c>
      <c r="B544" s="2" t="inlineStr">
        <is>
          <t>8a17da4 +modifs</t>
        </is>
      </c>
      <c r="C544" s="2" t="inlineStr">
        <is>
          <t>20a. Essai ecarte : variante nappes et traits seuls (coupee)</t>
        </is>
      </c>
      <c r="D544" s="2" t="inlineStr">
        <is>
          <t>adaptive=0, lasersmooth=0, immobile, banc rapide, 19 cas</t>
        </is>
      </c>
      <c r="E544" s="2" t="n">
        <v>2</v>
      </c>
      <c r="F544" s="2" t="inlineStr">
        <is>
          <t>sans lasers (scene seule) / public</t>
        </is>
      </c>
      <c r="G544" s="3" t="n">
        <v>5.21</v>
      </c>
      <c r="H544" s="4">
        <f>IF(G544&gt;0,1000/G544,"")</f>
        <v/>
      </c>
      <c r="I544" s="3" t="n">
        <v>2.755</v>
      </c>
      <c r="J544" s="3" t="n">
        <v>2.59</v>
      </c>
      <c r="K544" s="3" t="n">
        <v>0.79</v>
      </c>
      <c r="L544" s="3" t="n">
        <v>0.661</v>
      </c>
      <c r="M544" s="3" t="n"/>
      <c r="N544" s="2" t="n">
        <v>0</v>
      </c>
      <c r="O544" s="2" t="inlineStr">
        <is>
          <t>ilda_smooth_A0, ilda_smooth_A1</t>
        </is>
      </c>
      <c r="P544" s="3" t="n"/>
      <c r="Q544" s="2" t="inlineStr">
        <is>
          <t>lasers</t>
        </is>
      </c>
    </row>
    <row r="545">
      <c r="A545" s="2" t="inlineStr">
        <is>
          <t>2026-10-15 13:42</t>
        </is>
      </c>
      <c r="B545" s="2" t="inlineStr">
        <is>
          <t>8a17da4 +modifs</t>
        </is>
      </c>
      <c r="C545" s="2" t="inlineStr">
        <is>
          <t>20a. Essai ecarte : variante nappes et traits seuls (coupee)</t>
        </is>
      </c>
      <c r="D545" s="2" t="inlineStr">
        <is>
          <t>adaptive=0, lasersmooth=0, immobile, banc rapide, 19 cas</t>
        </is>
      </c>
      <c r="E545" s="2" t="n">
        <v>2</v>
      </c>
      <c r="F545" s="2" t="inlineStr">
        <is>
          <t>L7 programmeur : formes, degrades, effets / public</t>
        </is>
      </c>
      <c r="G545" s="3" t="n">
        <v>24.3</v>
      </c>
      <c r="H545" s="4">
        <f>IF(G545&gt;0,1000/G545,"")</f>
        <v/>
      </c>
      <c r="I545" s="3" t="n">
        <v>23.52</v>
      </c>
      <c r="J545" s="3" t="n">
        <v>23.065</v>
      </c>
      <c r="K545" s="3" t="n">
        <v>0.726</v>
      </c>
      <c r="L545" s="3" t="n">
        <v>0.66</v>
      </c>
      <c r="M545" s="3" t="n"/>
      <c r="N545" s="2" t="n">
        <v>0</v>
      </c>
      <c r="O545" s="2" t="inlineStr">
        <is>
          <t>ilda_smooth_A0, ilda_smooth_A1</t>
        </is>
      </c>
      <c r="P545" s="3" t="n">
        <v>19.531</v>
      </c>
      <c r="Q545" s="2" t="inlineStr">
        <is>
          <t>lasers</t>
        </is>
      </c>
    </row>
    <row r="546">
      <c r="A546" s="2" t="inlineStr">
        <is>
          <t>2026-10-15 13:42</t>
        </is>
      </c>
      <c r="B546" s="2" t="inlineStr">
        <is>
          <t>8a17da4 +modifs</t>
        </is>
      </c>
      <c r="C546" s="2" t="inlineStr">
        <is>
          <t>20a. Essai ecarte : variante nappes et traits seuls (coupee)</t>
        </is>
      </c>
      <c r="D546" s="2" t="inlineStr">
        <is>
          <t>adaptive=0, lasersmooth=0, immobile, banc rapide, 19 cas</t>
        </is>
      </c>
      <c r="E546" s="2" t="n">
        <v>2</v>
      </c>
      <c r="F546" s="2" t="inlineStr">
        <is>
          <t>I1 ILDA nappes (banque Nappes) / public</t>
        </is>
      </c>
      <c r="G546" s="3" t="n">
        <v>30.8</v>
      </c>
      <c r="H546" s="4">
        <f>IF(G546&gt;0,1000/G546,"")</f>
        <v/>
      </c>
      <c r="I546" s="3" t="n">
        <v>29.79</v>
      </c>
      <c r="J546" s="3" t="n">
        <v>28.96</v>
      </c>
      <c r="K546" s="3" t="n">
        <v>0.733</v>
      </c>
      <c r="L546" s="3" t="n">
        <v>0.664</v>
      </c>
      <c r="M546" s="3" t="n"/>
      <c r="N546" s="2" t="n">
        <v>0</v>
      </c>
      <c r="O546" s="2" t="inlineStr">
        <is>
          <t>ilda_smooth_A0, ilda_smooth_A1</t>
        </is>
      </c>
      <c r="P546" s="3" t="n">
        <v>25.491</v>
      </c>
      <c r="Q546" s="2" t="inlineStr">
        <is>
          <t>lasers</t>
        </is>
      </c>
    </row>
    <row r="547">
      <c r="A547" s="2" t="inlineStr">
        <is>
          <t>2026-10-15 13:42</t>
        </is>
      </c>
      <c r="B547" s="2" t="inlineStr">
        <is>
          <t>8a17da4 +modifs</t>
        </is>
      </c>
      <c r="C547" s="2" t="inlineStr">
        <is>
          <t>20a. Essai ecarte : variante nappes et traits seuls (coupee)</t>
        </is>
      </c>
      <c r="D547" s="2" t="inlineStr">
        <is>
          <t>adaptive=0, lasersmooth=0, immobile, banc rapide, 19 cas</t>
        </is>
      </c>
      <c r="E547" s="2" t="n">
        <v>2</v>
      </c>
      <c r="F547" s="2" t="inlineStr">
        <is>
          <t>I2 ILDA faisceaux (banque Faisceaux) / public</t>
        </is>
      </c>
      <c r="G547" s="3" t="n">
        <v>7.715</v>
      </c>
      <c r="H547" s="4">
        <f>IF(G547&gt;0,1000/G547,"")</f>
        <v/>
      </c>
      <c r="I547" s="3" t="n">
        <v>7.105</v>
      </c>
      <c r="J547" s="3" t="n">
        <v>5.08</v>
      </c>
      <c r="K547" s="3" t="n">
        <v>0.736</v>
      </c>
      <c r="L547" s="3" t="n">
        <v>0.643</v>
      </c>
      <c r="M547" s="3" t="n"/>
      <c r="N547" s="2" t="n">
        <v>0</v>
      </c>
      <c r="O547" s="2" t="inlineStr">
        <is>
          <t>ilda_smooth_A0, ilda_smooth_A1</t>
        </is>
      </c>
      <c r="P547" s="3" t="n">
        <v>2.042</v>
      </c>
      <c r="Q547" s="2" t="inlineStr">
        <is>
          <t>lasers</t>
        </is>
      </c>
    </row>
    <row r="548">
      <c r="A548" s="2" t="inlineStr">
        <is>
          <t>2026-10-15 13:42</t>
        </is>
      </c>
      <c r="B548" s="2" t="inlineStr">
        <is>
          <t>8a17da4 +modifs</t>
        </is>
      </c>
      <c r="C548" s="2" t="inlineStr">
        <is>
          <t>20a. Essai ecarte : variante nappes et traits seuls (coupee)</t>
        </is>
      </c>
      <c r="D548" s="2" t="inlineStr">
        <is>
          <t>adaptive=0, lasersmooth=0, immobile, banc rapide, 19 cas</t>
        </is>
      </c>
      <c r="E548" s="2" t="n">
        <v>2</v>
      </c>
      <c r="F548" s="2" t="inlineStr">
        <is>
          <t>I3 ILDA geometrie (banque Geometrie) / public</t>
        </is>
      </c>
      <c r="G548" s="3" t="n">
        <v>24.085</v>
      </c>
      <c r="H548" s="4">
        <f>IF(G548&gt;0,1000/G548,"")</f>
        <v/>
      </c>
      <c r="I548" s="3" t="n">
        <v>23.105</v>
      </c>
      <c r="J548" s="3" t="n">
        <v>22.31</v>
      </c>
      <c r="K548" s="3" t="n">
        <v>0.723</v>
      </c>
      <c r="L548" s="3" t="n">
        <v>0.658</v>
      </c>
      <c r="M548" s="3" t="n"/>
      <c r="N548" s="2" t="n">
        <v>0</v>
      </c>
      <c r="O548" s="2" t="inlineStr">
        <is>
          <t>ilda_smooth_A0, ilda_smooth_A1</t>
        </is>
      </c>
      <c r="P548" s="3" t="n">
        <v>19.035</v>
      </c>
      <c r="Q548" s="2" t="inlineStr">
        <is>
          <t>lasers</t>
        </is>
      </c>
    </row>
    <row r="549">
      <c r="A549" s="2" t="inlineStr">
        <is>
          <t>2026-10-15 13:42</t>
        </is>
      </c>
      <c r="B549" s="2" t="inlineStr">
        <is>
          <t>8a17da4 +modifs</t>
        </is>
      </c>
      <c r="C549" s="2" t="inlineStr">
        <is>
          <t>20a. Essai ecarte : variante nappes et traits seuls (coupee)</t>
        </is>
      </c>
      <c r="D549" s="2" t="inlineStr">
        <is>
          <t>adaptive=0, lasersmooth=0, immobile, banc rapide, 19 cas</t>
        </is>
      </c>
      <c r="E549" s="2" t="n">
        <v>2</v>
      </c>
      <c r="F549" s="2" t="inlineStr">
        <is>
          <t>I4 ILDA tunnels (banque Tunnels) / public</t>
        </is>
      </c>
      <c r="G549" s="3" t="n">
        <v>28.88</v>
      </c>
      <c r="H549" s="4">
        <f>IF(G549&gt;0,1000/G549,"")</f>
        <v/>
      </c>
      <c r="I549" s="3" t="n">
        <v>27.7</v>
      </c>
      <c r="J549" s="3" t="n">
        <v>27.215</v>
      </c>
      <c r="K549" s="3" t="n">
        <v>0.728</v>
      </c>
      <c r="L549" s="3" t="n">
        <v>0.662</v>
      </c>
      <c r="M549" s="3" t="n"/>
      <c r="N549" s="2" t="n">
        <v>0</v>
      </c>
      <c r="O549" s="2" t="inlineStr">
        <is>
          <t>ilda_smooth_A0, ilda_smooth_A1</t>
        </is>
      </c>
      <c r="P549" s="3" t="n">
        <v>23.8</v>
      </c>
      <c r="Q549" s="2" t="inlineStr">
        <is>
          <t>lasers</t>
        </is>
      </c>
    </row>
    <row r="550">
      <c r="A550" s="2" t="inlineStr">
        <is>
          <t>2026-10-15 13:42</t>
        </is>
      </c>
      <c r="B550" s="2" t="inlineStr">
        <is>
          <t>8a17da4 +modifs</t>
        </is>
      </c>
      <c r="C550" s="2" t="inlineStr">
        <is>
          <t>20a. Essai ecarte : variante nappes et traits seuls (coupee)</t>
        </is>
      </c>
      <c r="D550" s="2" t="inlineStr">
        <is>
          <t>adaptive=0, lasersmooth=0, immobile, banc rapide, 19 cas</t>
        </is>
      </c>
      <c r="E550" s="2" t="n">
        <v>2</v>
      </c>
      <c r="F550" s="2" t="inlineStr">
        <is>
          <t>L1 en mode ligne (nappes continues) / public</t>
        </is>
      </c>
      <c r="G550" s="3" t="n">
        <v>12.075</v>
      </c>
      <c r="H550" s="4">
        <f>IF(G550&gt;0,1000/G550,"")</f>
        <v/>
      </c>
      <c r="I550" s="3" t="n">
        <v>10.98</v>
      </c>
      <c r="J550" s="3" t="n">
        <v>10.585</v>
      </c>
      <c r="K550" s="3" t="n">
        <v>0.8129999999999999</v>
      </c>
      <c r="L550" s="3" t="n">
        <v>0.679</v>
      </c>
      <c r="M550" s="3" t="n"/>
      <c r="N550" s="2" t="n">
        <v>0</v>
      </c>
      <c r="O550" s="2" t="inlineStr">
        <is>
          <t>ilda_smooth_A0, ilda_smooth_A1</t>
        </is>
      </c>
      <c r="P550" s="3" t="n">
        <v>7.643</v>
      </c>
      <c r="Q550" s="2" t="inlineStr">
        <is>
          <t>lasers</t>
        </is>
      </c>
    </row>
    <row r="551">
      <c r="A551" s="2" t="inlineStr">
        <is>
          <t>2026-10-15 13:42</t>
        </is>
      </c>
      <c r="B551" s="2" t="inlineStr">
        <is>
          <t>8a17da4 +modifs</t>
        </is>
      </c>
      <c r="C551" s="2" t="inlineStr">
        <is>
          <t>20a. Essai ecarte : variante nappes et traits seuls (active)</t>
        </is>
      </c>
      <c r="D551" s="2" t="inlineStr">
        <is>
          <t>adaptive=0, lasersmooth=1, immobile, banc rapide, 19 cas</t>
        </is>
      </c>
      <c r="E551" s="2" t="n">
        <v>2</v>
      </c>
      <c r="F551" s="2" t="inlineStr">
        <is>
          <t>L1 eventails 200 x 1000 traits / public</t>
        </is>
      </c>
      <c r="G551" s="3" t="n">
        <v>13.47</v>
      </c>
      <c r="H551" s="4">
        <f>IF(G551&gt;0,1000/G551,"")</f>
        <v/>
      </c>
      <c r="I551" s="3" t="n">
        <v>12.415</v>
      </c>
      <c r="J551" s="3" t="n">
        <v>11.69</v>
      </c>
      <c r="K551" s="3" t="n">
        <v>0.54</v>
      </c>
      <c r="L551" s="3" t="n">
        <v>0.659</v>
      </c>
      <c r="M551" s="3" t="n"/>
      <c r="N551" s="2" t="n">
        <v>0</v>
      </c>
      <c r="O551" s="2" t="inlineStr">
        <is>
          <t>ilda_smooth_B0, ilda_smooth_B1</t>
        </is>
      </c>
      <c r="P551" s="3" t="n">
        <v>8.718999999999999</v>
      </c>
      <c r="Q551" s="2" t="inlineStr">
        <is>
          <t>lasers</t>
        </is>
      </c>
    </row>
    <row r="552">
      <c r="A552" s="2" t="inlineStr">
        <is>
          <t>2026-10-15 13:42</t>
        </is>
      </c>
      <c r="B552" s="2" t="inlineStr">
        <is>
          <t>8a17da4 +modifs</t>
        </is>
      </c>
      <c r="C552" s="2" t="inlineStr">
        <is>
          <t>20a. Essai ecarte : variante nappes et traits seuls (active)</t>
        </is>
      </c>
      <c r="D552" s="2" t="inlineStr">
        <is>
          <t>adaptive=0, lasersmooth=1, immobile, banc rapide, 19 cas</t>
        </is>
      </c>
      <c r="E552" s="2" t="n">
        <v>2</v>
      </c>
      <c r="F552" s="2" t="inlineStr">
        <is>
          <t>L1 eventails 200 x 1000 traits / scene</t>
        </is>
      </c>
      <c r="G552" s="3" t="n">
        <v>11.73</v>
      </c>
      <c r="H552" s="4">
        <f>IF(G552&gt;0,1000/G552,"")</f>
        <v/>
      </c>
      <c r="I552" s="3" t="n">
        <v>11.095</v>
      </c>
      <c r="J552" s="3" t="n">
        <v>10.715</v>
      </c>
      <c r="K552" s="3" t="n">
        <v>0.788</v>
      </c>
      <c r="L552" s="3" t="n">
        <v>0.728</v>
      </c>
      <c r="M552" s="3" t="n"/>
      <c r="N552" s="2" t="n">
        <v>0</v>
      </c>
      <c r="O552" s="2" t="inlineStr">
        <is>
          <t>ilda_smooth_B0, ilda_smooth_B1</t>
        </is>
      </c>
      <c r="P552" s="3" t="n">
        <v>7.707</v>
      </c>
      <c r="Q552" s="2" t="inlineStr">
        <is>
          <t>lasers</t>
        </is>
      </c>
    </row>
    <row r="553">
      <c r="A553" s="2" t="inlineStr">
        <is>
          <t>2026-10-15 13:42</t>
        </is>
      </c>
      <c r="B553" s="2" t="inlineStr">
        <is>
          <t>8a17da4 +modifs</t>
        </is>
      </c>
      <c r="C553" s="2" t="inlineStr">
        <is>
          <t>20a. Essai ecarte : variante nappes et traits seuls (active)</t>
        </is>
      </c>
      <c r="D553" s="2" t="inlineStr">
        <is>
          <t>adaptive=0, lasersmooth=1, immobile, banc rapide, 19 cas</t>
        </is>
      </c>
      <c r="E553" s="2" t="n">
        <v>2</v>
      </c>
      <c r="F553" s="2" t="inlineStr">
        <is>
          <t>L1 eventails 200 x 1000 traits / sous les trusses</t>
        </is>
      </c>
      <c r="G553" s="3" t="n">
        <v>12.11</v>
      </c>
      <c r="H553" s="4">
        <f>IF(G553&gt;0,1000/G553,"")</f>
        <v/>
      </c>
      <c r="I553" s="3" t="n">
        <v>10.65</v>
      </c>
      <c r="J553" s="3" t="n">
        <v>9.970000000000001</v>
      </c>
      <c r="K553" s="3" t="n">
        <v>0.6919999999999999</v>
      </c>
      <c r="L553" s="3" t="n">
        <v>0.8139999999999999</v>
      </c>
      <c r="M553" s="3" t="n"/>
      <c r="N553" s="2" t="n">
        <v>0</v>
      </c>
      <c r="O553" s="2" t="inlineStr">
        <is>
          <t>ilda_smooth_B0, ilda_smooth_B1</t>
        </is>
      </c>
      <c r="P553" s="3" t="n">
        <v>6.943</v>
      </c>
      <c r="Q553" s="2" t="inlineStr">
        <is>
          <t>lasers</t>
        </is>
      </c>
    </row>
    <row r="554">
      <c r="A554" s="2" t="inlineStr">
        <is>
          <t>2026-10-15 13:42</t>
        </is>
      </c>
      <c r="B554" s="2" t="inlineStr">
        <is>
          <t>8a17da4 +modifs</t>
        </is>
      </c>
      <c r="C554" s="2" t="inlineStr">
        <is>
          <t>20a. Essai ecarte : variante nappes et traits seuls (active)</t>
        </is>
      </c>
      <c r="D554" s="2" t="inlineStr">
        <is>
          <t>adaptive=0, lasersmooth=1, immobile, banc rapide, 19 cas</t>
        </is>
      </c>
      <c r="E554" s="2" t="n">
        <v>2</v>
      </c>
      <c r="F554" s="2" t="inlineStr">
        <is>
          <t>L2 cones 200 x 32 segments / public</t>
        </is>
      </c>
      <c r="G554" s="3" t="n">
        <v>17.085</v>
      </c>
      <c r="H554" s="4">
        <f>IF(G554&gt;0,1000/G554,"")</f>
        <v/>
      </c>
      <c r="I554" s="3" t="n">
        <v>16.365</v>
      </c>
      <c r="J554" s="3" t="n">
        <v>16</v>
      </c>
      <c r="K554" s="3" t="n">
        <v>0.671</v>
      </c>
      <c r="L554" s="3" t="n">
        <v>0.675</v>
      </c>
      <c r="M554" s="3" t="n"/>
      <c r="N554" s="2" t="n">
        <v>0</v>
      </c>
      <c r="O554" s="2" t="inlineStr">
        <is>
          <t>ilda_smooth_B0, ilda_smooth_B1</t>
        </is>
      </c>
      <c r="P554" s="3" t="n">
        <v>12.937</v>
      </c>
      <c r="Q554" s="2" t="inlineStr">
        <is>
          <t>lasers</t>
        </is>
      </c>
    </row>
    <row r="555">
      <c r="A555" s="2" t="inlineStr">
        <is>
          <t>2026-10-15 13:42</t>
        </is>
      </c>
      <c r="B555" s="2" t="inlineStr">
        <is>
          <t>8a17da4 +modifs</t>
        </is>
      </c>
      <c r="C555" s="2" t="inlineStr">
        <is>
          <t>20a. Essai ecarte : variante nappes et traits seuls (active)</t>
        </is>
      </c>
      <c r="D555" s="2" t="inlineStr">
        <is>
          <t>adaptive=0, lasersmooth=1, immobile, banc rapide, 19 cas</t>
        </is>
      </c>
      <c r="E555" s="2" t="n">
        <v>2</v>
      </c>
      <c r="F555" s="2" t="inlineStr">
        <is>
          <t>L2 cones 200 x 32 segments / scene</t>
        </is>
      </c>
      <c r="G555" s="3" t="n">
        <v>17.21</v>
      </c>
      <c r="H555" s="4">
        <f>IF(G555&gt;0,1000/G555,"")</f>
        <v/>
      </c>
      <c r="I555" s="3" t="n">
        <v>16.31</v>
      </c>
      <c r="J555" s="3" t="n">
        <v>15.925</v>
      </c>
      <c r="K555" s="3" t="n">
        <v>0.788</v>
      </c>
      <c r="L555" s="3" t="n">
        <v>0.726</v>
      </c>
      <c r="M555" s="3" t="n"/>
      <c r="N555" s="2" t="n">
        <v>0</v>
      </c>
      <c r="O555" s="2" t="inlineStr">
        <is>
          <t>ilda_smooth_B0, ilda_smooth_B1</t>
        </is>
      </c>
      <c r="P555" s="3" t="n">
        <v>12.808</v>
      </c>
      <c r="Q555" s="2" t="inlineStr">
        <is>
          <t>lasers</t>
        </is>
      </c>
    </row>
    <row r="556">
      <c r="A556" s="2" t="inlineStr">
        <is>
          <t>2026-10-15 13:42</t>
        </is>
      </c>
      <c r="B556" s="2" t="inlineStr">
        <is>
          <t>8a17da4 +modifs</t>
        </is>
      </c>
      <c r="C556" s="2" t="inlineStr">
        <is>
          <t>20a. Essai ecarte : variante nappes et traits seuls (active)</t>
        </is>
      </c>
      <c r="D556" s="2" t="inlineStr">
        <is>
          <t>adaptive=0, lasersmooth=1, immobile, banc rapide, 19 cas</t>
        </is>
      </c>
      <c r="E556" s="2" t="n">
        <v>2</v>
      </c>
      <c r="F556" s="2" t="inlineStr">
        <is>
          <t>L3 camera dans les nappes</t>
        </is>
      </c>
      <c r="G556" s="3" t="n">
        <v>13.2</v>
      </c>
      <c r="H556" s="4">
        <f>IF(G556&gt;0,1000/G556,"")</f>
        <v/>
      </c>
      <c r="I556" s="3" t="n">
        <v>12.225</v>
      </c>
      <c r="J556" s="3" t="n">
        <v>11.645</v>
      </c>
      <c r="K556" s="3" t="n">
        <v>0.764</v>
      </c>
      <c r="L556" s="3" t="n">
        <v>0.763</v>
      </c>
      <c r="M556" s="3" t="n"/>
      <c r="N556" s="2" t="n">
        <v>0</v>
      </c>
      <c r="O556" s="2" t="inlineStr">
        <is>
          <t>ilda_smooth_B0, ilda_smooth_B1</t>
        </is>
      </c>
      <c r="P556" s="3" t="n">
        <v>8.24</v>
      </c>
      <c r="Q556" s="2" t="inlineStr">
        <is>
          <t>lasers</t>
        </is>
      </c>
    </row>
    <row r="557">
      <c r="A557" s="2" t="inlineStr">
        <is>
          <t>2026-10-15 13:42</t>
        </is>
      </c>
      <c r="B557" s="2" t="inlineStr">
        <is>
          <t>8a17da4 +modifs</t>
        </is>
      </c>
      <c r="C557" s="2" t="inlineStr">
        <is>
          <t>20a. Essai ecarte : variante nappes et traits seuls (active)</t>
        </is>
      </c>
      <c r="D557" s="2" t="inlineStr">
        <is>
          <t>adaptive=0, lasersmooth=1, immobile, banc rapide, 19 cas</t>
        </is>
      </c>
      <c r="E557" s="2" t="n">
        <v>2</v>
      </c>
      <c r="F557" s="2" t="inlineStr">
        <is>
          <t>L4 200 x 8 traits separes / public</t>
        </is>
      </c>
      <c r="G557" s="3" t="n">
        <v>7.83</v>
      </c>
      <c r="H557" s="4">
        <f>IF(G557&gt;0,1000/G557,"")</f>
        <v/>
      </c>
      <c r="I557" s="3" t="n">
        <v>7.285</v>
      </c>
      <c r="J557" s="3" t="n">
        <v>7.425</v>
      </c>
      <c r="K557" s="3" t="n">
        <v>0.528</v>
      </c>
      <c r="L557" s="3" t="n">
        <v>3.831</v>
      </c>
      <c r="M557" s="3" t="n"/>
      <c r="N557" s="2" t="n">
        <v>0</v>
      </c>
      <c r="O557" s="2" t="inlineStr">
        <is>
          <t>ilda_smooth_B0, ilda_smooth_B1</t>
        </is>
      </c>
      <c r="P557" s="3" t="n">
        <v>1.592</v>
      </c>
      <c r="Q557" s="2" t="inlineStr">
        <is>
          <t>lasers</t>
        </is>
      </c>
    </row>
    <row r="558">
      <c r="A558" s="2" t="inlineStr">
        <is>
          <t>2026-10-15 13:42</t>
        </is>
      </c>
      <c r="B558" s="2" t="inlineStr">
        <is>
          <t>8a17da4 +modifs</t>
        </is>
      </c>
      <c r="C558" s="2" t="inlineStr">
        <is>
          <t>20a. Essai ecarte : variante nappes et traits seuls (active)</t>
        </is>
      </c>
      <c r="D558" s="2" t="inlineStr">
        <is>
          <t>adaptive=0, lasersmooth=1, immobile, banc rapide, 19 cas</t>
        </is>
      </c>
      <c r="E558" s="2" t="n">
        <v>2</v>
      </c>
      <c r="F558" s="2" t="inlineStr">
        <is>
          <t>L5 nappes en gros plan, fumee epaisse</t>
        </is>
      </c>
      <c r="G558" s="3" t="n">
        <v>12.19</v>
      </c>
      <c r="H558" s="4">
        <f>IF(G558&gt;0,1000/G558,"")</f>
        <v/>
      </c>
      <c r="I558" s="3" t="n">
        <v>11.485</v>
      </c>
      <c r="J558" s="3" t="n">
        <v>11.085</v>
      </c>
      <c r="K558" s="3" t="n">
        <v>0.681</v>
      </c>
      <c r="L558" s="3" t="n">
        <v>0.662</v>
      </c>
      <c r="M558" s="3" t="n"/>
      <c r="N558" s="2" t="n">
        <v>0</v>
      </c>
      <c r="O558" s="2" t="inlineStr">
        <is>
          <t>ilda_smooth_B0, ilda_smooth_B1</t>
        </is>
      </c>
      <c r="P558" s="3" t="n">
        <v>8.002000000000001</v>
      </c>
      <c r="Q558" s="2" t="inlineStr">
        <is>
          <t>lasers</t>
        </is>
      </c>
    </row>
    <row r="559">
      <c r="A559" s="2" t="inlineStr">
        <is>
          <t>2026-10-15 13:42</t>
        </is>
      </c>
      <c r="B559" s="2" t="inlineStr">
        <is>
          <t>8a17da4 +modifs</t>
        </is>
      </c>
      <c r="C559" s="2" t="inlineStr">
        <is>
          <t>20a. Essai ecarte : variante nappes et traits seuls (active)</t>
        </is>
      </c>
      <c r="D559" s="2" t="inlineStr">
        <is>
          <t>adaptive=0, lasersmooth=1, immobile, banc rapide, 19 cas</t>
        </is>
      </c>
      <c r="E559" s="2" t="n">
        <v>2</v>
      </c>
      <c r="F559" s="2" t="inlineStr">
        <is>
          <t>L6 traits vers le sol et les obstacles / public</t>
        </is>
      </c>
      <c r="G559" s="3" t="n">
        <v>15.54</v>
      </c>
      <c r="H559" s="4">
        <f>IF(G559&gt;0,1000/G559,"")</f>
        <v/>
      </c>
      <c r="I559" s="3" t="n">
        <v>14.64</v>
      </c>
      <c r="J559" s="3" t="n">
        <v>13.65</v>
      </c>
      <c r="K559" s="3" t="n">
        <v>0.796</v>
      </c>
      <c r="L559" s="3" t="n">
        <v>0.6870000000000001</v>
      </c>
      <c r="M559" s="3" t="n"/>
      <c r="N559" s="2" t="n">
        <v>0</v>
      </c>
      <c r="O559" s="2" t="inlineStr">
        <is>
          <t>ilda_smooth_B0, ilda_smooth_B1</t>
        </is>
      </c>
      <c r="P559" s="3" t="n">
        <v>10.431</v>
      </c>
      <c r="Q559" s="2" t="inlineStr">
        <is>
          <t>lasers</t>
        </is>
      </c>
    </row>
    <row r="560">
      <c r="A560" s="2" t="inlineStr">
        <is>
          <t>2026-10-15 13:42</t>
        </is>
      </c>
      <c r="B560" s="2" t="inlineStr">
        <is>
          <t>8a17da4 +modifs</t>
        </is>
      </c>
      <c r="C560" s="2" t="inlineStr">
        <is>
          <t>20a. Essai ecarte : variante nappes et traits seuls (active)</t>
        </is>
      </c>
      <c r="D560" s="2" t="inlineStr">
        <is>
          <t>adaptive=0, lasersmooth=1, immobile, banc rapide, 19 cas</t>
        </is>
      </c>
      <c r="E560" s="2" t="n">
        <v>2</v>
      </c>
      <c r="F560" s="2" t="inlineStr">
        <is>
          <t>M1 100 lyres + 100 lasers / public</t>
        </is>
      </c>
      <c r="G560" s="3" t="n">
        <v>11.305</v>
      </c>
      <c r="H560" s="4">
        <f>IF(G560&gt;0,1000/G560,"")</f>
        <v/>
      </c>
      <c r="I560" s="3" t="n">
        <v>10.555</v>
      </c>
      <c r="J560" s="3" t="n">
        <v>9.82</v>
      </c>
      <c r="K560" s="3" t="n">
        <v>1.229</v>
      </c>
      <c r="L560" s="3" t="n">
        <v>1.444</v>
      </c>
      <c r="M560" s="3" t="n"/>
      <c r="N560" s="2" t="n">
        <v>49</v>
      </c>
      <c r="O560" s="2" t="inlineStr">
        <is>
          <t>ilda_smooth_B0, ilda_smooth_B1</t>
        </is>
      </c>
      <c r="P560" s="3" t="n">
        <v>4.824</v>
      </c>
      <c r="Q560" s="2" t="inlineStr">
        <is>
          <t>lasers</t>
        </is>
      </c>
    </row>
    <row r="561">
      <c r="A561" s="2" t="inlineStr">
        <is>
          <t>2026-10-15 13:42</t>
        </is>
      </c>
      <c r="B561" s="2" t="inlineStr">
        <is>
          <t>8a17da4 +modifs</t>
        </is>
      </c>
      <c r="C561" s="2" t="inlineStr">
        <is>
          <t>20a. Essai ecarte : variante nappes et traits seuls (active)</t>
        </is>
      </c>
      <c r="D561" s="2" t="inlineStr">
        <is>
          <t>adaptive=0, lasersmooth=1, immobile, banc rapide, 19 cas</t>
        </is>
      </c>
      <c r="E561" s="2" t="n">
        <v>2</v>
      </c>
      <c r="F561" s="2" t="inlineStr">
        <is>
          <t>M1 100 lyres + 100 lasers / scene</t>
        </is>
      </c>
      <c r="G561" s="3" t="n">
        <v>10.485</v>
      </c>
      <c r="H561" s="4">
        <f>IF(G561&gt;0,1000/G561,"")</f>
        <v/>
      </c>
      <c r="I561" s="3" t="n">
        <v>9.5</v>
      </c>
      <c r="J561" s="3" t="n">
        <v>8.744999999999999</v>
      </c>
      <c r="K561" s="3" t="n">
        <v>1.155</v>
      </c>
      <c r="L561" s="3" t="n">
        <v>1.378</v>
      </c>
      <c r="M561" s="3" t="n"/>
      <c r="N561" s="2" t="n">
        <v>49</v>
      </c>
      <c r="O561" s="2" t="inlineStr">
        <is>
          <t>ilda_smooth_B0, ilda_smooth_B1</t>
        </is>
      </c>
      <c r="P561" s="3" t="n">
        <v>3.978</v>
      </c>
      <c r="Q561" s="2" t="inlineStr">
        <is>
          <t>lasers</t>
        </is>
      </c>
    </row>
    <row r="562">
      <c r="A562" s="2" t="inlineStr">
        <is>
          <t>2026-10-15 13:42</t>
        </is>
      </c>
      <c r="B562" s="2" t="inlineStr">
        <is>
          <t>8a17da4 +modifs</t>
        </is>
      </c>
      <c r="C562" s="2" t="inlineStr">
        <is>
          <t>20a. Essai ecarte : variante nappes et traits seuls (active)</t>
        </is>
      </c>
      <c r="D562" s="2" t="inlineStr">
        <is>
          <t>adaptive=0, lasersmooth=1, immobile, banc rapide, 19 cas</t>
        </is>
      </c>
      <c r="E562" s="2" t="n">
        <v>2</v>
      </c>
      <c r="F562" s="2" t="inlineStr">
        <is>
          <t>M1 100 lyres + 100 lasers / sous les trusses</t>
        </is>
      </c>
      <c r="G562" s="3" t="n">
        <v>10.195</v>
      </c>
      <c r="H562" s="4">
        <f>IF(G562&gt;0,1000/G562,"")</f>
        <v/>
      </c>
      <c r="I562" s="3" t="n">
        <v>8.44</v>
      </c>
      <c r="J562" s="3" t="n">
        <v>8.01</v>
      </c>
      <c r="K562" s="3" t="n">
        <v>0.91</v>
      </c>
      <c r="L562" s="3" t="n">
        <v>1.297</v>
      </c>
      <c r="M562" s="3" t="n"/>
      <c r="N562" s="2" t="n">
        <v>49</v>
      </c>
      <c r="O562" s="2" t="inlineStr">
        <is>
          <t>ilda_smooth_B0, ilda_smooth_B1</t>
        </is>
      </c>
      <c r="P562" s="3" t="n">
        <v>3.54</v>
      </c>
      <c r="Q562" s="2" t="inlineStr">
        <is>
          <t>lasers</t>
        </is>
      </c>
    </row>
    <row r="563">
      <c r="A563" s="2" t="inlineStr">
        <is>
          <t>2026-10-15 13:42</t>
        </is>
      </c>
      <c r="B563" s="2" t="inlineStr">
        <is>
          <t>8a17da4 +modifs</t>
        </is>
      </c>
      <c r="C563" s="2" t="inlineStr">
        <is>
          <t>20a. Essai ecarte : variante nappes et traits seuls (active)</t>
        </is>
      </c>
      <c r="D563" s="2" t="inlineStr">
        <is>
          <t>adaptive=0, lasersmooth=1, immobile, banc rapide, 19 cas</t>
        </is>
      </c>
      <c r="E563" s="2" t="n">
        <v>2</v>
      </c>
      <c r="F563" s="2" t="inlineStr">
        <is>
          <t>sans lasers (scene seule) / public</t>
        </is>
      </c>
      <c r="G563" s="3" t="n">
        <v>5.925</v>
      </c>
      <c r="H563" s="4">
        <f>IF(G563&gt;0,1000/G563,"")</f>
        <v/>
      </c>
      <c r="I563" s="3" t="n">
        <v>3.81</v>
      </c>
      <c r="J563" s="3" t="n">
        <v>3.15</v>
      </c>
      <c r="K563" s="3" t="n">
        <v>0.962</v>
      </c>
      <c r="L563" s="3" t="n">
        <v>0.834</v>
      </c>
      <c r="M563" s="3" t="n"/>
      <c r="N563" s="2" t="n">
        <v>0</v>
      </c>
      <c r="O563" s="2" t="inlineStr">
        <is>
          <t>ilda_smooth_B0, ilda_smooth_B1</t>
        </is>
      </c>
      <c r="P563" s="3" t="n"/>
      <c r="Q563" s="2" t="inlineStr">
        <is>
          <t>lasers</t>
        </is>
      </c>
    </row>
    <row r="564">
      <c r="A564" s="2" t="inlineStr">
        <is>
          <t>2026-10-15 13:42</t>
        </is>
      </c>
      <c r="B564" s="2" t="inlineStr">
        <is>
          <t>8a17da4 +modifs</t>
        </is>
      </c>
      <c r="C564" s="2" t="inlineStr">
        <is>
          <t>20a. Essai ecarte : variante nappes et traits seuls (active)</t>
        </is>
      </c>
      <c r="D564" s="2" t="inlineStr">
        <is>
          <t>adaptive=0, lasersmooth=1, immobile, banc rapide, 19 cas</t>
        </is>
      </c>
      <c r="E564" s="2" t="n">
        <v>2</v>
      </c>
      <c r="F564" s="2" t="inlineStr">
        <is>
          <t>L7 programmeur : formes, degrades, effets / public</t>
        </is>
      </c>
      <c r="G564" s="3" t="n">
        <v>24.525</v>
      </c>
      <c r="H564" s="4">
        <f>IF(G564&gt;0,1000/G564,"")</f>
        <v/>
      </c>
      <c r="I564" s="3" t="n">
        <v>23.565</v>
      </c>
      <c r="J564" s="3" t="n">
        <v>23.075</v>
      </c>
      <c r="K564" s="3" t="n">
        <v>0.724</v>
      </c>
      <c r="L564" s="3" t="n">
        <v>0.68</v>
      </c>
      <c r="M564" s="3" t="n"/>
      <c r="N564" s="2" t="n">
        <v>0</v>
      </c>
      <c r="O564" s="2" t="inlineStr">
        <is>
          <t>ilda_smooth_B0, ilda_smooth_B1</t>
        </is>
      </c>
      <c r="P564" s="3" t="n">
        <v>19.495</v>
      </c>
      <c r="Q564" s="2" t="inlineStr">
        <is>
          <t>lasers</t>
        </is>
      </c>
    </row>
    <row r="565">
      <c r="A565" s="2" t="inlineStr">
        <is>
          <t>2026-10-15 13:42</t>
        </is>
      </c>
      <c r="B565" s="2" t="inlineStr">
        <is>
          <t>8a17da4 +modifs</t>
        </is>
      </c>
      <c r="C565" s="2" t="inlineStr">
        <is>
          <t>20a. Essai ecarte : variante nappes et traits seuls (active)</t>
        </is>
      </c>
      <c r="D565" s="2" t="inlineStr">
        <is>
          <t>adaptive=0, lasersmooth=1, immobile, banc rapide, 19 cas</t>
        </is>
      </c>
      <c r="E565" s="2" t="n">
        <v>2</v>
      </c>
      <c r="F565" s="2" t="inlineStr">
        <is>
          <t>I1 ILDA nappes (banque Nappes) / public</t>
        </is>
      </c>
      <c r="G565" s="3" t="n">
        <v>30.53</v>
      </c>
      <c r="H565" s="4">
        <f>IF(G565&gt;0,1000/G565,"")</f>
        <v/>
      </c>
      <c r="I565" s="3" t="n">
        <v>29.505</v>
      </c>
      <c r="J565" s="3" t="n">
        <v>29.095</v>
      </c>
      <c r="K565" s="3" t="n">
        <v>0.799</v>
      </c>
      <c r="L565" s="3" t="n">
        <v>0.703</v>
      </c>
      <c r="M565" s="3" t="n"/>
      <c r="N565" s="2" t="n">
        <v>0</v>
      </c>
      <c r="O565" s="2" t="inlineStr">
        <is>
          <t>ilda_smooth_B0, ilda_smooth_B1</t>
        </is>
      </c>
      <c r="P565" s="3" t="n">
        <v>25.469</v>
      </c>
      <c r="Q565" s="2" t="inlineStr">
        <is>
          <t>lasers</t>
        </is>
      </c>
    </row>
    <row r="566">
      <c r="A566" s="2" t="inlineStr">
        <is>
          <t>2026-10-15 13:42</t>
        </is>
      </c>
      <c r="B566" s="2" t="inlineStr">
        <is>
          <t>8a17da4 +modifs</t>
        </is>
      </c>
      <c r="C566" s="2" t="inlineStr">
        <is>
          <t>20a. Essai ecarte : variante nappes et traits seuls (active)</t>
        </is>
      </c>
      <c r="D566" s="2" t="inlineStr">
        <is>
          <t>adaptive=0, lasersmooth=1, immobile, banc rapide, 19 cas</t>
        </is>
      </c>
      <c r="E566" s="2" t="n">
        <v>2</v>
      </c>
      <c r="F566" s="2" t="inlineStr">
        <is>
          <t>I2 ILDA faisceaux (banque Faisceaux) / public</t>
        </is>
      </c>
      <c r="G566" s="3" t="n">
        <v>7.915</v>
      </c>
      <c r="H566" s="4">
        <f>IF(G566&gt;0,1000/G566,"")</f>
        <v/>
      </c>
      <c r="I566" s="3" t="n">
        <v>6.83</v>
      </c>
      <c r="J566" s="3" t="n">
        <v>5.995</v>
      </c>
      <c r="K566" s="3" t="n">
        <v>0.725</v>
      </c>
      <c r="L566" s="3" t="n">
        <v>0.652</v>
      </c>
      <c r="M566" s="3" t="n"/>
      <c r="N566" s="2" t="n">
        <v>0</v>
      </c>
      <c r="O566" s="2" t="inlineStr">
        <is>
          <t>ilda_smooth_B0, ilda_smooth_B1</t>
        </is>
      </c>
      <c r="P566" s="3" t="n">
        <v>2.018</v>
      </c>
      <c r="Q566" s="2" t="inlineStr">
        <is>
          <t>lasers</t>
        </is>
      </c>
    </row>
    <row r="567">
      <c r="A567" s="2" t="inlineStr">
        <is>
          <t>2026-10-15 13:42</t>
        </is>
      </c>
      <c r="B567" s="2" t="inlineStr">
        <is>
          <t>8a17da4 +modifs</t>
        </is>
      </c>
      <c r="C567" s="2" t="inlineStr">
        <is>
          <t>20a. Essai ecarte : variante nappes et traits seuls (active)</t>
        </is>
      </c>
      <c r="D567" s="2" t="inlineStr">
        <is>
          <t>adaptive=0, lasersmooth=1, immobile, banc rapide, 19 cas</t>
        </is>
      </c>
      <c r="E567" s="2" t="n">
        <v>2</v>
      </c>
      <c r="F567" s="2" t="inlineStr">
        <is>
          <t>I3 ILDA geometrie (banque Geometrie) / public</t>
        </is>
      </c>
      <c r="G567" s="3" t="n">
        <v>23.765</v>
      </c>
      <c r="H567" s="4">
        <f>IF(G567&gt;0,1000/G567,"")</f>
        <v/>
      </c>
      <c r="I567" s="3" t="n">
        <v>22.94</v>
      </c>
      <c r="J567" s="3" t="n">
        <v>22.39</v>
      </c>
      <c r="K567" s="3" t="n">
        <v>0.734</v>
      </c>
      <c r="L567" s="3" t="n">
        <v>0.681</v>
      </c>
      <c r="M567" s="3" t="n"/>
      <c r="N567" s="2" t="n">
        <v>0</v>
      </c>
      <c r="O567" s="2" t="inlineStr">
        <is>
          <t>ilda_smooth_B0, ilda_smooth_B1</t>
        </is>
      </c>
      <c r="P567" s="3" t="n">
        <v>18.551</v>
      </c>
      <c r="Q567" s="2" t="inlineStr">
        <is>
          <t>lasers</t>
        </is>
      </c>
    </row>
    <row r="568">
      <c r="A568" s="2" t="inlineStr">
        <is>
          <t>2026-10-15 13:42</t>
        </is>
      </c>
      <c r="B568" s="2" t="inlineStr">
        <is>
          <t>8a17da4 +modifs</t>
        </is>
      </c>
      <c r="C568" s="2" t="inlineStr">
        <is>
          <t>20a. Essai ecarte : variante nappes et traits seuls (active)</t>
        </is>
      </c>
      <c r="D568" s="2" t="inlineStr">
        <is>
          <t>adaptive=0, lasersmooth=1, immobile, banc rapide, 19 cas</t>
        </is>
      </c>
      <c r="E568" s="2" t="n">
        <v>2</v>
      </c>
      <c r="F568" s="2" t="inlineStr">
        <is>
          <t>I4 ILDA tunnels (banque Tunnels) / public</t>
        </is>
      </c>
      <c r="G568" s="3" t="n">
        <v>28.63</v>
      </c>
      <c r="H568" s="4">
        <f>IF(G568&gt;0,1000/G568,"")</f>
        <v/>
      </c>
      <c r="I568" s="3" t="n">
        <v>27.595</v>
      </c>
      <c r="J568" s="3" t="n">
        <v>27.09</v>
      </c>
      <c r="K568" s="3" t="n">
        <v>0.724</v>
      </c>
      <c r="L568" s="3" t="n">
        <v>0.681</v>
      </c>
      <c r="M568" s="3" t="n"/>
      <c r="N568" s="2" t="n">
        <v>0</v>
      </c>
      <c r="O568" s="2" t="inlineStr">
        <is>
          <t>ilda_smooth_B0, ilda_smooth_B1</t>
        </is>
      </c>
      <c r="P568" s="3" t="n">
        <v>23.18</v>
      </c>
      <c r="Q568" s="2" t="inlineStr">
        <is>
          <t>lasers</t>
        </is>
      </c>
    </row>
    <row r="569">
      <c r="A569" s="2" t="inlineStr">
        <is>
          <t>2026-10-15 13:42</t>
        </is>
      </c>
      <c r="B569" s="2" t="inlineStr">
        <is>
          <t>8a17da4 +modifs</t>
        </is>
      </c>
      <c r="C569" s="2" t="inlineStr">
        <is>
          <t>20a. Essai ecarte : variante nappes et traits seuls (active)</t>
        </is>
      </c>
      <c r="D569" s="2" t="inlineStr">
        <is>
          <t>adaptive=0, lasersmooth=1, immobile, banc rapide, 19 cas</t>
        </is>
      </c>
      <c r="E569" s="2" t="n">
        <v>2</v>
      </c>
      <c r="F569" s="2" t="inlineStr">
        <is>
          <t>L1 en mode ligne (nappes continues) / public</t>
        </is>
      </c>
      <c r="G569" s="3" t="n">
        <v>11.835</v>
      </c>
      <c r="H569" s="4">
        <f>IF(G569&gt;0,1000/G569,"")</f>
        <v/>
      </c>
      <c r="I569" s="3" t="n">
        <v>11.015</v>
      </c>
      <c r="J569" s="3" t="n">
        <v>10.65</v>
      </c>
      <c r="K569" s="3" t="n">
        <v>0.806</v>
      </c>
      <c r="L569" s="3" t="n">
        <v>0.694</v>
      </c>
      <c r="M569" s="3" t="n"/>
      <c r="N569" s="2" t="n">
        <v>0</v>
      </c>
      <c r="O569" s="2" t="inlineStr">
        <is>
          <t>ilda_smooth_B0, ilda_smooth_B1</t>
        </is>
      </c>
      <c r="P569" s="3" t="n">
        <v>7.608</v>
      </c>
      <c r="Q569" s="2" t="inlineStr">
        <is>
          <t>lasers</t>
        </is>
      </c>
    </row>
    <row r="570">
      <c r="A570" s="2" t="inlineStr">
        <is>
          <t>2026-10-15 13:42</t>
        </is>
      </c>
      <c r="B570" s="2" t="inlineStr">
        <is>
          <t>8a17da4 +modifs</t>
        </is>
      </c>
      <c r="C570" s="2" t="inlineStr">
        <is>
          <t>20. Lyres : lecture ILDA (inchange)</t>
        </is>
      </c>
      <c r="D570" s="2" t="inlineStr">
        <is>
          <t>adaptive=0, immobile, banc rapide, 3 cas</t>
        </is>
      </c>
      <c r="E570" s="2" t="n">
        <v>2</v>
      </c>
      <c r="F570" s="2" t="inlineStr">
        <is>
          <t>defaut / public</t>
        </is>
      </c>
      <c r="G570" s="3" t="n">
        <v>8.395</v>
      </c>
      <c r="H570" s="4">
        <f>IF(G570&gt;0,1000/G570,"")</f>
        <v/>
      </c>
      <c r="I570" s="3" t="n">
        <v>7.02</v>
      </c>
      <c r="J570" s="3" t="n">
        <v>6.26</v>
      </c>
      <c r="K570" s="3" t="n">
        <v>1.648</v>
      </c>
      <c r="L570" s="3" t="n">
        <v>2.149</v>
      </c>
      <c r="M570" s="3" t="n"/>
      <c r="N570" s="2" t="n">
        <v>98</v>
      </c>
      <c r="O570" s="2" t="inlineStr">
        <is>
          <t>ilda_lyres_B0, ilda_lyres_B1</t>
        </is>
      </c>
      <c r="P570" s="3" t="n"/>
      <c r="Q570" s="2" t="inlineStr">
        <is>
          <t>lyres</t>
        </is>
      </c>
    </row>
    <row r="571">
      <c r="A571" s="2" t="inlineStr">
        <is>
          <t>2026-10-15 13:42</t>
        </is>
      </c>
      <c r="B571" s="2" t="inlineStr">
        <is>
          <t>8a17da4 +modifs</t>
        </is>
      </c>
      <c r="C571" s="2" t="inlineStr">
        <is>
          <t>20. Lyres : lecture ILDA (inchange)</t>
        </is>
      </c>
      <c r="D571" s="2" t="inlineStr">
        <is>
          <t>adaptive=0, immobile, banc rapide, 3 cas</t>
        </is>
      </c>
      <c r="E571" s="2" t="n">
        <v>2</v>
      </c>
      <c r="F571" s="2" t="inlineStr">
        <is>
          <t>gobo + prisme 8 + zoom 25 / public</t>
        </is>
      </c>
      <c r="G571" s="3" t="n">
        <v>17.435</v>
      </c>
      <c r="H571" s="4">
        <f>IF(G571&gt;0,1000/G571,"")</f>
        <v/>
      </c>
      <c r="I571" s="3" t="n">
        <v>16.75</v>
      </c>
      <c r="J571" s="3" t="n">
        <v>16.65</v>
      </c>
      <c r="K571" s="3" t="n">
        <v>6.067</v>
      </c>
      <c r="L571" s="3" t="n">
        <v>6.853</v>
      </c>
      <c r="M571" s="3" t="n"/>
      <c r="N571" s="2" t="n">
        <v>280</v>
      </c>
      <c r="O571" s="2" t="inlineStr">
        <is>
          <t>ilda_lyres_B0, ilda_lyres_B1</t>
        </is>
      </c>
      <c r="P571" s="3" t="n"/>
      <c r="Q571" s="2" t="inlineStr">
        <is>
          <t>lyres</t>
        </is>
      </c>
    </row>
    <row r="572">
      <c r="A572" s="2" t="inlineStr">
        <is>
          <t>2026-10-15 13:42</t>
        </is>
      </c>
      <c r="B572" s="2" t="inlineStr">
        <is>
          <t>8a17da4 +modifs</t>
        </is>
      </c>
      <c r="C572" s="2" t="inlineStr">
        <is>
          <t>20. Lyres : lecture ILDA (inchange)</t>
        </is>
      </c>
      <c r="D572" s="2" t="inlineStr">
        <is>
          <t>adaptive=0, immobile, banc rapide, 3 cas</t>
        </is>
      </c>
      <c r="E572" s="2" t="n">
        <v>2</v>
      </c>
      <c r="F572" s="2" t="inlineStr">
        <is>
          <t>zoom 45 + frost 0.6 / public</t>
        </is>
      </c>
      <c r="G572" s="3" t="n">
        <v>11.77</v>
      </c>
      <c r="H572" s="4">
        <f>IF(G572&gt;0,1000/G572,"")</f>
        <v/>
      </c>
      <c r="I572" s="3" t="n">
        <v>10.995</v>
      </c>
      <c r="J572" s="3" t="n">
        <v>10.18</v>
      </c>
      <c r="K572" s="3" t="n">
        <v>3.518</v>
      </c>
      <c r="L572" s="3" t="n">
        <v>4.181</v>
      </c>
      <c r="M572" s="3" t="n"/>
      <c r="N572" s="2" t="n">
        <v>887</v>
      </c>
      <c r="O572" s="2" t="inlineStr">
        <is>
          <t>ilda_lyres_B0, ilda_lyres_B1</t>
        </is>
      </c>
      <c r="P572" s="3" t="n"/>
      <c r="Q572" s="2" t="inlineStr">
        <is>
          <t>lyres</t>
        </is>
      </c>
    </row>
    <row r="573">
      <c r="A573" s="2" t="inlineStr">
        <is>
          <t>2026-10-15 14:16</t>
        </is>
      </c>
      <c r="B573" s="2" t="inlineStr">
        <is>
          <t>eb108ec +modifs</t>
        </is>
      </c>
      <c r="C573" s="2" t="inlineStr">
        <is>
          <t>21. Lasers : collisions, code present coupe (lasercoll=0)</t>
        </is>
      </c>
      <c r="D573" s="2" t="inlineStr">
        <is>
          <t>adaptive=0, lasercoll=0, immobile, banc rapide, 5 cas</t>
        </is>
      </c>
      <c r="E573" s="2" t="n">
        <v>2</v>
      </c>
      <c r="F573" s="2" t="inlineStr">
        <is>
          <t>L1 eventails 200 x 1000 traits / public</t>
        </is>
      </c>
      <c r="G573" s="3" t="n">
        <v>13.92</v>
      </c>
      <c r="H573" s="4">
        <f>IF(G573&gt;0,1000/G573,"")</f>
        <v/>
      </c>
      <c r="I573" s="3" t="n">
        <v>13.145</v>
      </c>
      <c r="J573" s="3" t="n">
        <v>12.05</v>
      </c>
      <c r="K573" s="3" t="n">
        <v>0.784</v>
      </c>
      <c r="L573" s="3" t="n">
        <v>0.659</v>
      </c>
      <c r="M573" s="3" t="n"/>
      <c r="N573" s="2" t="n">
        <v>0</v>
      </c>
      <c r="O573" s="2" t="inlineStr">
        <is>
          <t>coll_presence2_B0, coll_presence2_B1</t>
        </is>
      </c>
      <c r="P573" s="3" t="n">
        <v>9.125</v>
      </c>
      <c r="Q573" s="2" t="inlineStr">
        <is>
          <t>lasers</t>
        </is>
      </c>
    </row>
    <row r="574">
      <c r="A574" s="2" t="inlineStr">
        <is>
          <t>2026-10-15 14:16</t>
        </is>
      </c>
      <c r="B574" s="2" t="inlineStr">
        <is>
          <t>eb108ec +modifs</t>
        </is>
      </c>
      <c r="C574" s="2" t="inlineStr">
        <is>
          <t>21. Lasers : collisions, code present coupe (lasercoll=0)</t>
        </is>
      </c>
      <c r="D574" s="2" t="inlineStr">
        <is>
          <t>adaptive=0, lasercoll=0, immobile, banc rapide, 5 cas</t>
        </is>
      </c>
      <c r="E574" s="2" t="n">
        <v>2</v>
      </c>
      <c r="F574" s="2" t="inlineStr">
        <is>
          <t>L2 cones 200 x 32 segments / public</t>
        </is>
      </c>
      <c r="G574" s="3" t="n">
        <v>18</v>
      </c>
      <c r="H574" s="4">
        <f>IF(G574&gt;0,1000/G574,"")</f>
        <v/>
      </c>
      <c r="I574" s="3" t="n">
        <v>17.06</v>
      </c>
      <c r="J574" s="3" t="n">
        <v>16.305</v>
      </c>
      <c r="K574" s="3" t="n">
        <v>0.666</v>
      </c>
      <c r="L574" s="3" t="n">
        <v>0.651</v>
      </c>
      <c r="M574" s="3" t="n"/>
      <c r="N574" s="2" t="n">
        <v>0</v>
      </c>
      <c r="O574" s="2" t="inlineStr">
        <is>
          <t>coll_presence2_B0, coll_presence2_B1</t>
        </is>
      </c>
      <c r="P574" s="3" t="n">
        <v>13.299</v>
      </c>
      <c r="Q574" s="2" t="inlineStr">
        <is>
          <t>lasers</t>
        </is>
      </c>
    </row>
    <row r="575">
      <c r="A575" s="2" t="inlineStr">
        <is>
          <t>2026-10-15 14:16</t>
        </is>
      </c>
      <c r="B575" s="2" t="inlineStr">
        <is>
          <t>eb108ec +modifs</t>
        </is>
      </c>
      <c r="C575" s="2" t="inlineStr">
        <is>
          <t>21. Lasers : collisions, code present coupe (lasercoll=0)</t>
        </is>
      </c>
      <c r="D575" s="2" t="inlineStr">
        <is>
          <t>adaptive=0, lasercoll=0, immobile, banc rapide, 5 cas</t>
        </is>
      </c>
      <c r="E575" s="2" t="n">
        <v>2</v>
      </c>
      <c r="F575" s="2" t="inlineStr">
        <is>
          <t>L3 camera dans les nappes</t>
        </is>
      </c>
      <c r="G575" s="3" t="n">
        <v>12.775</v>
      </c>
      <c r="H575" s="4">
        <f>IF(G575&gt;0,1000/G575,"")</f>
        <v/>
      </c>
      <c r="I575" s="3" t="n">
        <v>11.68</v>
      </c>
      <c r="J575" s="3" t="n">
        <v>11.155</v>
      </c>
      <c r="K575" s="3" t="n">
        <v>0.634</v>
      </c>
      <c r="L575" s="3" t="n">
        <v>0.695</v>
      </c>
      <c r="M575" s="3" t="n"/>
      <c r="N575" s="2" t="n">
        <v>0</v>
      </c>
      <c r="O575" s="2" t="inlineStr">
        <is>
          <t>coll_presence2_B0, coll_presence2_B1</t>
        </is>
      </c>
      <c r="P575" s="3" t="n">
        <v>8.233000000000001</v>
      </c>
      <c r="Q575" s="2" t="inlineStr">
        <is>
          <t>lasers</t>
        </is>
      </c>
    </row>
    <row r="576">
      <c r="A576" s="2" t="inlineStr">
        <is>
          <t>2026-10-15 14:16</t>
        </is>
      </c>
      <c r="B576" s="2" t="inlineStr">
        <is>
          <t>eb108ec +modifs</t>
        </is>
      </c>
      <c r="C576" s="2" t="inlineStr">
        <is>
          <t>21. Lasers : collisions, code present coupe (lasercoll=0)</t>
        </is>
      </c>
      <c r="D576" s="2" t="inlineStr">
        <is>
          <t>adaptive=0, lasercoll=0, immobile, banc rapide, 5 cas</t>
        </is>
      </c>
      <c r="E576" s="2" t="n">
        <v>2</v>
      </c>
      <c r="F576" s="2" t="inlineStr">
        <is>
          <t>L4 200 x 8 traits separes / public</t>
        </is>
      </c>
      <c r="G576" s="3" t="n">
        <v>7.985</v>
      </c>
      <c r="H576" s="4">
        <f>IF(G576&gt;0,1000/G576,"")</f>
        <v/>
      </c>
      <c r="I576" s="3" t="n">
        <v>6.96</v>
      </c>
      <c r="J576" s="3" t="n">
        <v>6.195</v>
      </c>
      <c r="K576" s="3" t="n">
        <v>0.655</v>
      </c>
      <c r="L576" s="3" t="n">
        <v>2.152</v>
      </c>
      <c r="M576" s="3" t="n"/>
      <c r="N576" s="2" t="n">
        <v>0</v>
      </c>
      <c r="O576" s="2" t="inlineStr">
        <is>
          <t>coll_presence2_B0, coll_presence2_B1</t>
        </is>
      </c>
      <c r="P576" s="3" t="n">
        <v>1.645</v>
      </c>
      <c r="Q576" s="2" t="inlineStr">
        <is>
          <t>lasers</t>
        </is>
      </c>
    </row>
    <row r="577">
      <c r="A577" s="2" t="inlineStr">
        <is>
          <t>2026-10-15 14:16</t>
        </is>
      </c>
      <c r="B577" s="2" t="inlineStr">
        <is>
          <t>eb108ec +modifs</t>
        </is>
      </c>
      <c r="C577" s="2" t="inlineStr">
        <is>
          <t>21. Lasers : collisions, code present coupe (lasercoll=0)</t>
        </is>
      </c>
      <c r="D577" s="2" t="inlineStr">
        <is>
          <t>adaptive=0, lasercoll=0, immobile, banc rapide, 5 cas</t>
        </is>
      </c>
      <c r="E577" s="2" t="n">
        <v>2</v>
      </c>
      <c r="F577" s="2" t="inlineStr">
        <is>
          <t>M1 100 lyres + 100 lasers / public</t>
        </is>
      </c>
      <c r="G577" s="3" t="n">
        <v>11.405</v>
      </c>
      <c r="H577" s="4">
        <f>IF(G577&gt;0,1000/G577,"")</f>
        <v/>
      </c>
      <c r="I577" s="3" t="n">
        <v>10.535</v>
      </c>
      <c r="J577" s="3" t="n">
        <v>9.66</v>
      </c>
      <c r="K577" s="3" t="n">
        <v>1.214</v>
      </c>
      <c r="L577" s="3" t="n">
        <v>1.385</v>
      </c>
      <c r="M577" s="3" t="n"/>
      <c r="N577" s="2" t="n">
        <v>49</v>
      </c>
      <c r="O577" s="2" t="inlineStr">
        <is>
          <t>coll_presence2_B0, coll_presence2_B1</t>
        </is>
      </c>
      <c r="P577" s="3" t="n">
        <v>4.905</v>
      </c>
      <c r="Q577" s="2" t="inlineStr">
        <is>
          <t>lasers</t>
        </is>
      </c>
    </row>
    <row r="578">
      <c r="A578" s="2" t="inlineStr">
        <is>
          <t>2026-10-15 14:16</t>
        </is>
      </c>
      <c r="B578" s="2" t="inlineStr">
        <is>
          <t>eb108ec +modifs</t>
        </is>
      </c>
      <c r="C578" s="2" t="inlineStr">
        <is>
          <t>21. Lasers : collisions actives (essai, test avec branchement)</t>
        </is>
      </c>
      <c r="D578" s="2" t="inlineStr">
        <is>
          <t>adaptive=0, lasercoll=1, immobile, banc rapide, 19 cas</t>
        </is>
      </c>
      <c r="E578" s="2" t="n">
        <v>2</v>
      </c>
      <c r="F578" s="2" t="inlineStr">
        <is>
          <t>L1 eventails 200 x 1000 traits / public</t>
        </is>
      </c>
      <c r="G578" s="3" t="n">
        <v>13.645</v>
      </c>
      <c r="H578" s="4">
        <f>IF(G578&gt;0,1000/G578,"")</f>
        <v/>
      </c>
      <c r="I578" s="3" t="n">
        <v>12.765</v>
      </c>
      <c r="J578" s="3" t="n">
        <v>11.895</v>
      </c>
      <c r="K578" s="3" t="n">
        <v>0.663</v>
      </c>
      <c r="L578" s="3" t="n">
        <v>0.647</v>
      </c>
      <c r="M578" s="3" t="n"/>
      <c r="N578" s="2" t="n">
        <v>0</v>
      </c>
      <c r="O578" s="2" t="inlineStr">
        <is>
          <t>coll_cout_B0, coll_cout_B1</t>
        </is>
      </c>
      <c r="P578" s="3" t="n">
        <v>8.965</v>
      </c>
      <c r="Q578" s="2" t="inlineStr">
        <is>
          <t>lasers</t>
        </is>
      </c>
    </row>
    <row r="579">
      <c r="A579" s="2" t="inlineStr">
        <is>
          <t>2026-10-15 14:16</t>
        </is>
      </c>
      <c r="B579" s="2" t="inlineStr">
        <is>
          <t>eb108ec +modifs</t>
        </is>
      </c>
      <c r="C579" s="2" t="inlineStr">
        <is>
          <t>21. Lasers : collisions actives (essai, test avec branchement)</t>
        </is>
      </c>
      <c r="D579" s="2" t="inlineStr">
        <is>
          <t>adaptive=0, lasercoll=1, immobile, banc rapide, 19 cas</t>
        </is>
      </c>
      <c r="E579" s="2" t="n">
        <v>2</v>
      </c>
      <c r="F579" s="2" t="inlineStr">
        <is>
          <t>L1 eventails 200 x 1000 traits / scene</t>
        </is>
      </c>
      <c r="G579" s="3" t="n">
        <v>12.295</v>
      </c>
      <c r="H579" s="4">
        <f>IF(G579&gt;0,1000/G579,"")</f>
        <v/>
      </c>
      <c r="I579" s="3" t="n">
        <v>11.735</v>
      </c>
      <c r="J579" s="3" t="n">
        <v>11.2</v>
      </c>
      <c r="K579" s="3" t="n">
        <v>0.792</v>
      </c>
      <c r="L579" s="3" t="n">
        <v>0.716</v>
      </c>
      <c r="M579" s="3" t="n"/>
      <c r="N579" s="2" t="n">
        <v>0</v>
      </c>
      <c r="O579" s="2" t="inlineStr">
        <is>
          <t>coll_cout_B0, coll_cout_B1</t>
        </is>
      </c>
      <c r="P579" s="3" t="n">
        <v>8.188000000000001</v>
      </c>
      <c r="Q579" s="2" t="inlineStr">
        <is>
          <t>lasers</t>
        </is>
      </c>
    </row>
    <row r="580">
      <c r="A580" s="2" t="inlineStr">
        <is>
          <t>2026-10-15 14:16</t>
        </is>
      </c>
      <c r="B580" s="2" t="inlineStr">
        <is>
          <t>eb108ec +modifs</t>
        </is>
      </c>
      <c r="C580" s="2" t="inlineStr">
        <is>
          <t>21. Lasers : collisions actives (essai, test avec branchement)</t>
        </is>
      </c>
      <c r="D580" s="2" t="inlineStr">
        <is>
          <t>adaptive=0, lasercoll=1, immobile, banc rapide, 19 cas</t>
        </is>
      </c>
      <c r="E580" s="2" t="n">
        <v>2</v>
      </c>
      <c r="F580" s="2" t="inlineStr">
        <is>
          <t>L1 eventails 200 x 1000 traits / sous les trusses</t>
        </is>
      </c>
      <c r="G580" s="3" t="n">
        <v>11.64</v>
      </c>
      <c r="H580" s="4">
        <f>IF(G580&gt;0,1000/G580,"")</f>
        <v/>
      </c>
      <c r="I580" s="3" t="n">
        <v>10.725</v>
      </c>
      <c r="J580" s="3" t="n">
        <v>10.425</v>
      </c>
      <c r="K580" s="3" t="n">
        <v>0.694</v>
      </c>
      <c r="L580" s="3" t="n">
        <v>0.805</v>
      </c>
      <c r="M580" s="3" t="n"/>
      <c r="N580" s="2" t="n">
        <v>0</v>
      </c>
      <c r="O580" s="2" t="inlineStr">
        <is>
          <t>coll_cout_B0, coll_cout_B1</t>
        </is>
      </c>
      <c r="P580" s="3" t="n">
        <v>7.377</v>
      </c>
      <c r="Q580" s="2" t="inlineStr">
        <is>
          <t>lasers</t>
        </is>
      </c>
    </row>
    <row r="581">
      <c r="A581" s="2" t="inlineStr">
        <is>
          <t>2026-10-15 14:16</t>
        </is>
      </c>
      <c r="B581" s="2" t="inlineStr">
        <is>
          <t>eb108ec +modifs</t>
        </is>
      </c>
      <c r="C581" s="2" t="inlineStr">
        <is>
          <t>21. Lasers : collisions actives (essai, test avec branchement)</t>
        </is>
      </c>
      <c r="D581" s="2" t="inlineStr">
        <is>
          <t>adaptive=0, lasercoll=1, immobile, banc rapide, 19 cas</t>
        </is>
      </c>
      <c r="E581" s="2" t="n">
        <v>2</v>
      </c>
      <c r="F581" s="2" t="inlineStr">
        <is>
          <t>L2 cones 200 x 32 segments / public</t>
        </is>
      </c>
      <c r="G581" s="3" t="n">
        <v>17.835</v>
      </c>
      <c r="H581" s="4">
        <f>IF(G581&gt;0,1000/G581,"")</f>
        <v/>
      </c>
      <c r="I581" s="3" t="n">
        <v>17.21</v>
      </c>
      <c r="J581" s="3" t="n">
        <v>16.425</v>
      </c>
      <c r="K581" s="3" t="n">
        <v>0.554</v>
      </c>
      <c r="L581" s="3" t="n">
        <v>0.644</v>
      </c>
      <c r="M581" s="3" t="n"/>
      <c r="N581" s="2" t="n">
        <v>0</v>
      </c>
      <c r="O581" s="2" t="inlineStr">
        <is>
          <t>coll_cout_B0, coll_cout_B1</t>
        </is>
      </c>
      <c r="P581" s="3" t="n">
        <v>13.531</v>
      </c>
      <c r="Q581" s="2" t="inlineStr">
        <is>
          <t>lasers</t>
        </is>
      </c>
    </row>
    <row r="582">
      <c r="A582" s="2" t="inlineStr">
        <is>
          <t>2026-10-15 14:16</t>
        </is>
      </c>
      <c r="B582" s="2" t="inlineStr">
        <is>
          <t>eb108ec +modifs</t>
        </is>
      </c>
      <c r="C582" s="2" t="inlineStr">
        <is>
          <t>21. Lasers : collisions actives (essai, test avec branchement)</t>
        </is>
      </c>
      <c r="D582" s="2" t="inlineStr">
        <is>
          <t>adaptive=0, lasercoll=1, immobile, banc rapide, 19 cas</t>
        </is>
      </c>
      <c r="E582" s="2" t="n">
        <v>2</v>
      </c>
      <c r="F582" s="2" t="inlineStr">
        <is>
          <t>L2 cones 200 x 32 segments / scene</t>
        </is>
      </c>
      <c r="G582" s="3" t="n">
        <v>18.225</v>
      </c>
      <c r="H582" s="4">
        <f>IF(G582&gt;0,1000/G582,"")</f>
        <v/>
      </c>
      <c r="I582" s="3" t="n">
        <v>17.45</v>
      </c>
      <c r="J582" s="3" t="n">
        <v>16.61</v>
      </c>
      <c r="K582" s="3" t="n">
        <v>0.795</v>
      </c>
      <c r="L582" s="3" t="n">
        <v>0.72</v>
      </c>
      <c r="M582" s="3" t="n"/>
      <c r="N582" s="2" t="n">
        <v>0</v>
      </c>
      <c r="O582" s="2" t="inlineStr">
        <is>
          <t>coll_cout_B0, coll_cout_B1</t>
        </is>
      </c>
      <c r="P582" s="3" t="n">
        <v>13.581</v>
      </c>
      <c r="Q582" s="2" t="inlineStr">
        <is>
          <t>lasers</t>
        </is>
      </c>
    </row>
    <row r="583">
      <c r="A583" s="2" t="inlineStr">
        <is>
          <t>2026-10-15 14:16</t>
        </is>
      </c>
      <c r="B583" s="2" t="inlineStr">
        <is>
          <t>eb108ec +modifs</t>
        </is>
      </c>
      <c r="C583" s="2" t="inlineStr">
        <is>
          <t>21. Lasers : collisions actives (essai, test avec branchement)</t>
        </is>
      </c>
      <c r="D583" s="2" t="inlineStr">
        <is>
          <t>adaptive=0, lasercoll=1, immobile, banc rapide, 19 cas</t>
        </is>
      </c>
      <c r="E583" s="2" t="n">
        <v>2</v>
      </c>
      <c r="F583" s="2" t="inlineStr">
        <is>
          <t>L3 camera dans les nappes</t>
        </is>
      </c>
      <c r="G583" s="3" t="n">
        <v>13.07</v>
      </c>
      <c r="H583" s="4">
        <f>IF(G583&gt;0,1000/G583,"")</f>
        <v/>
      </c>
      <c r="I583" s="3" t="n">
        <v>12.545</v>
      </c>
      <c r="J583" s="3" t="n">
        <v>11.515</v>
      </c>
      <c r="K583" s="3" t="n">
        <v>0.758</v>
      </c>
      <c r="L583" s="3" t="n">
        <v>0.73</v>
      </c>
      <c r="M583" s="3" t="n"/>
      <c r="N583" s="2" t="n">
        <v>0</v>
      </c>
      <c r="O583" s="2" t="inlineStr">
        <is>
          <t>coll_cout_B0, coll_cout_B1</t>
        </is>
      </c>
      <c r="P583" s="3" t="n">
        <v>8.529</v>
      </c>
      <c r="Q583" s="2" t="inlineStr">
        <is>
          <t>lasers</t>
        </is>
      </c>
    </row>
    <row r="584">
      <c r="A584" s="2" t="inlineStr">
        <is>
          <t>2026-10-15 14:16</t>
        </is>
      </c>
      <c r="B584" s="2" t="inlineStr">
        <is>
          <t>eb108ec +modifs</t>
        </is>
      </c>
      <c r="C584" s="2" t="inlineStr">
        <is>
          <t>21. Lasers : collisions actives (essai, test avec branchement)</t>
        </is>
      </c>
      <c r="D584" s="2" t="inlineStr">
        <is>
          <t>adaptive=0, lasercoll=1, immobile, banc rapide, 19 cas</t>
        </is>
      </c>
      <c r="E584" s="2" t="n">
        <v>2</v>
      </c>
      <c r="F584" s="2" t="inlineStr">
        <is>
          <t>L4 200 x 8 traits separes / public</t>
        </is>
      </c>
      <c r="G584" s="3" t="n">
        <v>5.83</v>
      </c>
      <c r="H584" s="4">
        <f>IF(G584&gt;0,1000/G584,"")</f>
        <v/>
      </c>
      <c r="I584" s="3" t="n">
        <v>5.125</v>
      </c>
      <c r="J584" s="3" t="n">
        <v>4.55</v>
      </c>
      <c r="K584" s="3" t="n">
        <v>0.783</v>
      </c>
      <c r="L584" s="3" t="n">
        <v>0.657</v>
      </c>
      <c r="M584" s="3" t="n"/>
      <c r="N584" s="2" t="n">
        <v>0</v>
      </c>
      <c r="O584" s="2" t="inlineStr">
        <is>
          <t>coll_cout_B0, coll_cout_B1</t>
        </is>
      </c>
      <c r="P584" s="3" t="n">
        <v>1.641</v>
      </c>
      <c r="Q584" s="2" t="inlineStr">
        <is>
          <t>lasers</t>
        </is>
      </c>
    </row>
    <row r="585">
      <c r="A585" s="2" t="inlineStr">
        <is>
          <t>2026-10-15 14:16</t>
        </is>
      </c>
      <c r="B585" s="2" t="inlineStr">
        <is>
          <t>eb108ec +modifs</t>
        </is>
      </c>
      <c r="C585" s="2" t="inlineStr">
        <is>
          <t>21. Lasers : collisions actives (essai, test avec branchement)</t>
        </is>
      </c>
      <c r="D585" s="2" t="inlineStr">
        <is>
          <t>adaptive=0, lasercoll=1, immobile, banc rapide, 19 cas</t>
        </is>
      </c>
      <c r="E585" s="2" t="n">
        <v>2</v>
      </c>
      <c r="F585" s="2" t="inlineStr">
        <is>
          <t>L5 nappes en gros plan, fumee epaisse</t>
        </is>
      </c>
      <c r="G585" s="3" t="n">
        <v>13.22</v>
      </c>
      <c r="H585" s="4">
        <f>IF(G585&gt;0,1000/G585,"")</f>
        <v/>
      </c>
      <c r="I585" s="3" t="n">
        <v>12.44</v>
      </c>
      <c r="J585" s="3" t="n">
        <v>11.67</v>
      </c>
      <c r="K585" s="3" t="n">
        <v>0.589</v>
      </c>
      <c r="L585" s="3" t="n">
        <v>0.642</v>
      </c>
      <c r="M585" s="3" t="n"/>
      <c r="N585" s="2" t="n">
        <v>0</v>
      </c>
      <c r="O585" s="2" t="inlineStr">
        <is>
          <t>coll_cout_B0, coll_cout_B1</t>
        </is>
      </c>
      <c r="P585" s="3" t="n">
        <v>8.678000000000001</v>
      </c>
      <c r="Q585" s="2" t="inlineStr">
        <is>
          <t>lasers</t>
        </is>
      </c>
    </row>
    <row r="586">
      <c r="A586" s="2" t="inlineStr">
        <is>
          <t>2026-10-15 14:16</t>
        </is>
      </c>
      <c r="B586" s="2" t="inlineStr">
        <is>
          <t>eb108ec +modifs</t>
        </is>
      </c>
      <c r="C586" s="2" t="inlineStr">
        <is>
          <t>21. Lasers : collisions actives (essai, test avec branchement)</t>
        </is>
      </c>
      <c r="D586" s="2" t="inlineStr">
        <is>
          <t>adaptive=0, lasercoll=1, immobile, banc rapide, 19 cas</t>
        </is>
      </c>
      <c r="E586" s="2" t="n">
        <v>2</v>
      </c>
      <c r="F586" s="2" t="inlineStr">
        <is>
          <t>L6 traits vers le sol et les obstacles / public</t>
        </is>
      </c>
      <c r="G586" s="3" t="n">
        <v>14.875</v>
      </c>
      <c r="H586" s="4">
        <f>IF(G586&gt;0,1000/G586,"")</f>
        <v/>
      </c>
      <c r="I586" s="3" t="n">
        <v>14.1</v>
      </c>
      <c r="J586" s="3" t="n">
        <v>13.405</v>
      </c>
      <c r="K586" s="3" t="n">
        <v>0.804</v>
      </c>
      <c r="L586" s="3" t="n">
        <v>0.677</v>
      </c>
      <c r="M586" s="3" t="n"/>
      <c r="N586" s="2" t="n">
        <v>0</v>
      </c>
      <c r="O586" s="2" t="inlineStr">
        <is>
          <t>coll_cout_B0, coll_cout_B1</t>
        </is>
      </c>
      <c r="P586" s="3" t="n">
        <v>10.277</v>
      </c>
      <c r="Q586" s="2" t="inlineStr">
        <is>
          <t>lasers</t>
        </is>
      </c>
    </row>
    <row r="587">
      <c r="A587" s="2" t="inlineStr">
        <is>
          <t>2026-10-15 14:16</t>
        </is>
      </c>
      <c r="B587" s="2" t="inlineStr">
        <is>
          <t>eb108ec +modifs</t>
        </is>
      </c>
      <c r="C587" s="2" t="inlineStr">
        <is>
          <t>21. Lasers : collisions actives (essai, test avec branchement)</t>
        </is>
      </c>
      <c r="D587" s="2" t="inlineStr">
        <is>
          <t>adaptive=0, lasercoll=1, immobile, banc rapide, 19 cas</t>
        </is>
      </c>
      <c r="E587" s="2" t="n">
        <v>2</v>
      </c>
      <c r="F587" s="2" t="inlineStr">
        <is>
          <t>M1 100 lyres + 100 lasers / public</t>
        </is>
      </c>
      <c r="G587" s="3" t="n">
        <v>11.29</v>
      </c>
      <c r="H587" s="4">
        <f>IF(G587&gt;0,1000/G587,"")</f>
        <v/>
      </c>
      <c r="I587" s="3" t="n">
        <v>10.395</v>
      </c>
      <c r="J587" s="3" t="n">
        <v>9.720000000000001</v>
      </c>
      <c r="K587" s="3" t="n">
        <v>1.226</v>
      </c>
      <c r="L587" s="3" t="n">
        <v>1.397</v>
      </c>
      <c r="M587" s="3" t="n"/>
      <c r="N587" s="2" t="n">
        <v>49</v>
      </c>
      <c r="O587" s="2" t="inlineStr">
        <is>
          <t>coll_cout_B0, coll_cout_B1</t>
        </is>
      </c>
      <c r="P587" s="3" t="n">
        <v>4.948</v>
      </c>
      <c r="Q587" s="2" t="inlineStr">
        <is>
          <t>lasers</t>
        </is>
      </c>
    </row>
    <row r="588">
      <c r="A588" s="2" t="inlineStr">
        <is>
          <t>2026-10-15 14:16</t>
        </is>
      </c>
      <c r="B588" s="2" t="inlineStr">
        <is>
          <t>eb108ec +modifs</t>
        </is>
      </c>
      <c r="C588" s="2" t="inlineStr">
        <is>
          <t>21. Lasers : collisions actives (essai, test avec branchement)</t>
        </is>
      </c>
      <c r="D588" s="2" t="inlineStr">
        <is>
          <t>adaptive=0, lasercoll=1, immobile, banc rapide, 19 cas</t>
        </is>
      </c>
      <c r="E588" s="2" t="n">
        <v>2</v>
      </c>
      <c r="F588" s="2" t="inlineStr">
        <is>
          <t>M1 100 lyres + 100 lasers / scene</t>
        </is>
      </c>
      <c r="G588" s="3" t="n">
        <v>11.225</v>
      </c>
      <c r="H588" s="4">
        <f>IF(G588&gt;0,1000/G588,"")</f>
        <v/>
      </c>
      <c r="I588" s="3" t="n">
        <v>10.545</v>
      </c>
      <c r="J588" s="3" t="n">
        <v>8.994999999999999</v>
      </c>
      <c r="K588" s="3" t="n">
        <v>1.165</v>
      </c>
      <c r="L588" s="3" t="n">
        <v>1.377</v>
      </c>
      <c r="M588" s="3" t="n"/>
      <c r="N588" s="2" t="n">
        <v>49</v>
      </c>
      <c r="O588" s="2" t="inlineStr">
        <is>
          <t>coll_cout_B0, coll_cout_B1</t>
        </is>
      </c>
      <c r="P588" s="3" t="n">
        <v>4.225</v>
      </c>
      <c r="Q588" s="2" t="inlineStr">
        <is>
          <t>lasers</t>
        </is>
      </c>
    </row>
    <row r="589">
      <c r="A589" s="2" t="inlineStr">
        <is>
          <t>2026-10-15 14:16</t>
        </is>
      </c>
      <c r="B589" s="2" t="inlineStr">
        <is>
          <t>eb108ec +modifs</t>
        </is>
      </c>
      <c r="C589" s="2" t="inlineStr">
        <is>
          <t>21. Lasers : collisions actives (essai, test avec branchement)</t>
        </is>
      </c>
      <c r="D589" s="2" t="inlineStr">
        <is>
          <t>adaptive=0, lasercoll=1, immobile, banc rapide, 19 cas</t>
        </is>
      </c>
      <c r="E589" s="2" t="n">
        <v>2</v>
      </c>
      <c r="F589" s="2" t="inlineStr">
        <is>
          <t>M1 100 lyres + 100 lasers / sous les trusses</t>
        </is>
      </c>
      <c r="G589" s="3" t="n">
        <v>10.325</v>
      </c>
      <c r="H589" s="4">
        <f>IF(G589&gt;0,1000/G589,"")</f>
        <v/>
      </c>
      <c r="I589" s="3" t="n">
        <v>8.699999999999999</v>
      </c>
      <c r="J589" s="3" t="n">
        <v>8.225</v>
      </c>
      <c r="K589" s="3" t="n">
        <v>0.913</v>
      </c>
      <c r="L589" s="3" t="n">
        <v>1.306</v>
      </c>
      <c r="M589" s="3" t="n"/>
      <c r="N589" s="2" t="n">
        <v>49</v>
      </c>
      <c r="O589" s="2" t="inlineStr">
        <is>
          <t>coll_cout_B0, coll_cout_B1</t>
        </is>
      </c>
      <c r="P589" s="3" t="n">
        <v>3.74</v>
      </c>
      <c r="Q589" s="2" t="inlineStr">
        <is>
          <t>lasers</t>
        </is>
      </c>
    </row>
    <row r="590">
      <c r="A590" s="2" t="inlineStr">
        <is>
          <t>2026-10-15 14:16</t>
        </is>
      </c>
      <c r="B590" s="2" t="inlineStr">
        <is>
          <t>eb108ec +modifs</t>
        </is>
      </c>
      <c r="C590" s="2" t="inlineStr">
        <is>
          <t>21. Lasers : collisions actives (essai, test avec branchement)</t>
        </is>
      </c>
      <c r="D590" s="2" t="inlineStr">
        <is>
          <t>adaptive=0, lasercoll=1, immobile, banc rapide, 19 cas</t>
        </is>
      </c>
      <c r="E590" s="2" t="n">
        <v>2</v>
      </c>
      <c r="F590" s="2" t="inlineStr">
        <is>
          <t>sans lasers (scene seule) / public</t>
        </is>
      </c>
      <c r="G590" s="3" t="n">
        <v>5.21</v>
      </c>
      <c r="H590" s="4">
        <f>IF(G590&gt;0,1000/G590,"")</f>
        <v/>
      </c>
      <c r="I590" s="3" t="n">
        <v>2.63</v>
      </c>
      <c r="J590" s="3" t="n">
        <v>2.575</v>
      </c>
      <c r="K590" s="3" t="n">
        <v>0.781</v>
      </c>
      <c r="L590" s="3" t="n">
        <v>0.656</v>
      </c>
      <c r="M590" s="3" t="n"/>
      <c r="N590" s="2" t="n">
        <v>0</v>
      </c>
      <c r="O590" s="2" t="inlineStr">
        <is>
          <t>coll_cout_B0, coll_cout_B1</t>
        </is>
      </c>
      <c r="P590" s="3" t="n"/>
      <c r="Q590" s="2" t="inlineStr">
        <is>
          <t>lasers</t>
        </is>
      </c>
    </row>
    <row r="591">
      <c r="A591" s="2" t="inlineStr">
        <is>
          <t>2026-10-15 14:16</t>
        </is>
      </c>
      <c r="B591" s="2" t="inlineStr">
        <is>
          <t>eb108ec +modifs</t>
        </is>
      </c>
      <c r="C591" s="2" t="inlineStr">
        <is>
          <t>21. Lasers : collisions actives (essai, test avec branchement)</t>
        </is>
      </c>
      <c r="D591" s="2" t="inlineStr">
        <is>
          <t>adaptive=0, lasercoll=1, immobile, banc rapide, 19 cas</t>
        </is>
      </c>
      <c r="E591" s="2" t="n">
        <v>2</v>
      </c>
      <c r="F591" s="2" t="inlineStr">
        <is>
          <t>L7 programmeur : formes, degrades, effets / public</t>
        </is>
      </c>
      <c r="G591" s="3" t="n">
        <v>24.575</v>
      </c>
      <c r="H591" s="4">
        <f>IF(G591&gt;0,1000/G591,"")</f>
        <v/>
      </c>
      <c r="I591" s="3" t="n">
        <v>23.92</v>
      </c>
      <c r="J591" s="3" t="n">
        <v>23.005</v>
      </c>
      <c r="K591" s="3" t="n">
        <v>0.774</v>
      </c>
      <c r="L591" s="3" t="n">
        <v>0.677</v>
      </c>
      <c r="M591" s="3" t="n"/>
      <c r="N591" s="2" t="n">
        <v>0</v>
      </c>
      <c r="O591" s="2" t="inlineStr">
        <is>
          <t>coll_cout_B0, coll_cout_B1</t>
        </is>
      </c>
      <c r="P591" s="3" t="n">
        <v>19.602</v>
      </c>
      <c r="Q591" s="2" t="inlineStr">
        <is>
          <t>lasers</t>
        </is>
      </c>
    </row>
    <row r="592">
      <c r="A592" s="2" t="inlineStr">
        <is>
          <t>2026-10-15 14:16</t>
        </is>
      </c>
      <c r="B592" s="2" t="inlineStr">
        <is>
          <t>eb108ec +modifs</t>
        </is>
      </c>
      <c r="C592" s="2" t="inlineStr">
        <is>
          <t>21. Lasers : collisions actives (essai, test avec branchement)</t>
        </is>
      </c>
      <c r="D592" s="2" t="inlineStr">
        <is>
          <t>adaptive=0, lasercoll=1, immobile, banc rapide, 19 cas</t>
        </is>
      </c>
      <c r="E592" s="2" t="n">
        <v>2</v>
      </c>
      <c r="F592" s="2" t="inlineStr">
        <is>
          <t>I1 ILDA nappes (banque Nappes) / public</t>
        </is>
      </c>
      <c r="G592" s="3" t="n">
        <v>39.86</v>
      </c>
      <c r="H592" s="4">
        <f>IF(G592&gt;0,1000/G592,"")</f>
        <v/>
      </c>
      <c r="I592" s="3" t="n">
        <v>39.015</v>
      </c>
      <c r="J592" s="3" t="n">
        <v>38.02</v>
      </c>
      <c r="K592" s="3" t="n">
        <v>0.779</v>
      </c>
      <c r="L592" s="3" t="n">
        <v>0.679</v>
      </c>
      <c r="M592" s="3" t="n"/>
      <c r="N592" s="2" t="n">
        <v>0</v>
      </c>
      <c r="O592" s="2" t="inlineStr">
        <is>
          <t>coll_cout_B0, coll_cout_B1</t>
        </is>
      </c>
      <c r="P592" s="3" t="n">
        <v>34.752</v>
      </c>
      <c r="Q592" s="2" t="inlineStr">
        <is>
          <t>lasers</t>
        </is>
      </c>
    </row>
    <row r="593">
      <c r="A593" s="2" t="inlineStr">
        <is>
          <t>2026-10-15 14:16</t>
        </is>
      </c>
      <c r="B593" s="2" t="inlineStr">
        <is>
          <t>eb108ec +modifs</t>
        </is>
      </c>
      <c r="C593" s="2" t="inlineStr">
        <is>
          <t>21. Lasers : collisions actives (essai, test avec branchement)</t>
        </is>
      </c>
      <c r="D593" s="2" t="inlineStr">
        <is>
          <t>adaptive=0, lasercoll=1, immobile, banc rapide, 19 cas</t>
        </is>
      </c>
      <c r="E593" s="2" t="n">
        <v>2</v>
      </c>
      <c r="F593" s="2" t="inlineStr">
        <is>
          <t>I2 ILDA faisceaux (banque Faisceaux) / public</t>
        </is>
      </c>
      <c r="G593" s="3" t="n">
        <v>6.29</v>
      </c>
      <c r="H593" s="4">
        <f>IF(G593&gt;0,1000/G593,"")</f>
        <v/>
      </c>
      <c r="I593" s="3" t="n">
        <v>5.29</v>
      </c>
      <c r="J593" s="3" t="n">
        <v>5.04</v>
      </c>
      <c r="K593" s="3" t="n">
        <v>0.783</v>
      </c>
      <c r="L593" s="3" t="n">
        <v>0.657</v>
      </c>
      <c r="M593" s="3" t="n"/>
      <c r="N593" s="2" t="n">
        <v>0</v>
      </c>
      <c r="O593" s="2" t="inlineStr">
        <is>
          <t>coll_cout_B0, coll_cout_B1</t>
        </is>
      </c>
      <c r="P593" s="3" t="n">
        <v>2.066</v>
      </c>
      <c r="Q593" s="2" t="inlineStr">
        <is>
          <t>lasers</t>
        </is>
      </c>
    </row>
    <row r="594">
      <c r="A594" s="2" t="inlineStr">
        <is>
          <t>2026-10-15 14:16</t>
        </is>
      </c>
      <c r="B594" s="2" t="inlineStr">
        <is>
          <t>eb108ec +modifs</t>
        </is>
      </c>
      <c r="C594" s="2" t="inlineStr">
        <is>
          <t>21. Lasers : collisions actives (essai, test avec branchement)</t>
        </is>
      </c>
      <c r="D594" s="2" t="inlineStr">
        <is>
          <t>adaptive=0, lasercoll=1, immobile, banc rapide, 19 cas</t>
        </is>
      </c>
      <c r="E594" s="2" t="n">
        <v>2</v>
      </c>
      <c r="F594" s="2" t="inlineStr">
        <is>
          <t>I3 ILDA geometrie (banque Geometrie) / public</t>
        </is>
      </c>
      <c r="G594" s="3" t="n">
        <v>53.53</v>
      </c>
      <c r="H594" s="4">
        <f>IF(G594&gt;0,1000/G594,"")</f>
        <v/>
      </c>
      <c r="I594" s="3" t="n">
        <v>52.875</v>
      </c>
      <c r="J594" s="3" t="n">
        <v>52.35</v>
      </c>
      <c r="K594" s="3" t="n">
        <v>0.73</v>
      </c>
      <c r="L594" s="3" t="n">
        <v>0.669</v>
      </c>
      <c r="M594" s="3" t="n"/>
      <c r="N594" s="2" t="n">
        <v>0</v>
      </c>
      <c r="O594" s="2" t="inlineStr">
        <is>
          <t>coll_cout_B0, coll_cout_B1</t>
        </is>
      </c>
      <c r="P594" s="3" t="n">
        <v>49.216</v>
      </c>
      <c r="Q594" s="2" t="inlineStr">
        <is>
          <t>lasers</t>
        </is>
      </c>
    </row>
    <row r="595">
      <c r="A595" s="2" t="inlineStr">
        <is>
          <t>2026-10-15 14:16</t>
        </is>
      </c>
      <c r="B595" s="2" t="inlineStr">
        <is>
          <t>eb108ec +modifs</t>
        </is>
      </c>
      <c r="C595" s="2" t="inlineStr">
        <is>
          <t>21. Lasers : collisions actives (essai, test avec branchement)</t>
        </is>
      </c>
      <c r="D595" s="2" t="inlineStr">
        <is>
          <t>adaptive=0, lasercoll=1, immobile, banc rapide, 19 cas</t>
        </is>
      </c>
      <c r="E595" s="2" t="n">
        <v>2</v>
      </c>
      <c r="F595" s="2" t="inlineStr">
        <is>
          <t>I4 ILDA tunnels (banque Tunnels) / public</t>
        </is>
      </c>
      <c r="G595" s="3" t="n">
        <v>37.365</v>
      </c>
      <c r="H595" s="4">
        <f>IF(G595&gt;0,1000/G595,"")</f>
        <v/>
      </c>
      <c r="I595" s="3" t="n">
        <v>36.575</v>
      </c>
      <c r="J595" s="3" t="n">
        <v>36.03</v>
      </c>
      <c r="K595" s="3" t="n">
        <v>0.781</v>
      </c>
      <c r="L595" s="3" t="n">
        <v>0.6850000000000001</v>
      </c>
      <c r="M595" s="3" t="n"/>
      <c r="N595" s="2" t="n">
        <v>0</v>
      </c>
      <c r="O595" s="2" t="inlineStr">
        <is>
          <t>coll_cout_B0, coll_cout_B1</t>
        </is>
      </c>
      <c r="P595" s="3" t="n">
        <v>32.821</v>
      </c>
      <c r="Q595" s="2" t="inlineStr">
        <is>
          <t>lasers</t>
        </is>
      </c>
    </row>
    <row r="596">
      <c r="A596" s="2" t="inlineStr">
        <is>
          <t>2026-10-15 14:16</t>
        </is>
      </c>
      <c r="B596" s="2" t="inlineStr">
        <is>
          <t>eb108ec +modifs</t>
        </is>
      </c>
      <c r="C596" s="2" t="inlineStr">
        <is>
          <t>21. Lasers : collisions actives (essai, test avec branchement)</t>
        </is>
      </c>
      <c r="D596" s="2" t="inlineStr">
        <is>
          <t>adaptive=0, lasercoll=1, immobile, banc rapide, 19 cas</t>
        </is>
      </c>
      <c r="E596" s="2" t="n">
        <v>2</v>
      </c>
      <c r="F596" s="2" t="inlineStr">
        <is>
          <t>L1 en mode ligne (nappes continues) / public</t>
        </is>
      </c>
      <c r="G596" s="3" t="n">
        <v>12.145</v>
      </c>
      <c r="H596" s="4">
        <f>IF(G596&gt;0,1000/G596,"")</f>
        <v/>
      </c>
      <c r="I596" s="3" t="n">
        <v>11.365</v>
      </c>
      <c r="J596" s="3" t="n">
        <v>10.965</v>
      </c>
      <c r="K596" s="3" t="n">
        <v>0.765</v>
      </c>
      <c r="L596" s="3" t="n">
        <v>0.669</v>
      </c>
      <c r="M596" s="3" t="n"/>
      <c r="N596" s="2" t="n">
        <v>0</v>
      </c>
      <c r="O596" s="2" t="inlineStr">
        <is>
          <t>coll_cout_B0, coll_cout_B1</t>
        </is>
      </c>
      <c r="P596" s="3" t="n">
        <v>7.96</v>
      </c>
      <c r="Q596" s="2" t="inlineStr">
        <is>
          <t>lasers</t>
        </is>
      </c>
    </row>
    <row r="597">
      <c r="A597" s="2" t="inlineStr">
        <is>
          <t>2026-10-15 14:32</t>
        </is>
      </c>
      <c r="B597" s="2" t="inlineStr">
        <is>
          <t>eb108ec +modifs</t>
        </is>
      </c>
      <c r="C597" s="2" t="inlineStr">
        <is>
          <t>22. Lasers : impacts coupes (laserimpacts=0)</t>
        </is>
      </c>
      <c r="D597" s="2" t="inlineStr">
        <is>
          <t>adaptive=0, laserimpacts=0, immobile, banc rapide, 19 cas</t>
        </is>
      </c>
      <c r="E597" s="2" t="n">
        <v>2</v>
      </c>
      <c r="F597" s="2" t="inlineStr">
        <is>
          <t>L1 eventails 200 x 1000 traits / public</t>
        </is>
      </c>
      <c r="G597" s="3" t="n">
        <v>13.67</v>
      </c>
      <c r="H597" s="4">
        <f>IF(G597&gt;0,1000/G597,"")</f>
        <v/>
      </c>
      <c r="I597" s="3" t="n">
        <v>12.75</v>
      </c>
      <c r="J597" s="3" t="n">
        <v>11.935</v>
      </c>
      <c r="K597" s="3" t="n">
        <v>0.541</v>
      </c>
      <c r="L597" s="3" t="n">
        <v>0.653</v>
      </c>
      <c r="M597" s="3" t="n"/>
      <c r="N597" s="2" t="n">
        <v>0</v>
      </c>
      <c r="O597" s="2" t="inlineStr">
        <is>
          <t>imp_cout2_A0, imp_cout2_A1</t>
        </is>
      </c>
      <c r="P597" s="3" t="n">
        <v>8.962</v>
      </c>
      <c r="Q597" s="2" t="inlineStr">
        <is>
          <t>lasers</t>
        </is>
      </c>
    </row>
    <row r="598">
      <c r="A598" s="2" t="inlineStr">
        <is>
          <t>2026-10-15 14:32</t>
        </is>
      </c>
      <c r="B598" s="2" t="inlineStr">
        <is>
          <t>eb108ec +modifs</t>
        </is>
      </c>
      <c r="C598" s="2" t="inlineStr">
        <is>
          <t>22. Lasers : impacts coupes (laserimpacts=0)</t>
        </is>
      </c>
      <c r="D598" s="2" t="inlineStr">
        <is>
          <t>adaptive=0, laserimpacts=0, immobile, banc rapide, 19 cas</t>
        </is>
      </c>
      <c r="E598" s="2" t="n">
        <v>2</v>
      </c>
      <c r="F598" s="2" t="inlineStr">
        <is>
          <t>L1 eventails 200 x 1000 traits / scene</t>
        </is>
      </c>
      <c r="G598" s="3" t="n">
        <v>12.83</v>
      </c>
      <c r="H598" s="4">
        <f>IF(G598&gt;0,1000/G598,"")</f>
        <v/>
      </c>
      <c r="I598" s="3" t="n">
        <v>12.01</v>
      </c>
      <c r="J598" s="3" t="n">
        <v>11.095</v>
      </c>
      <c r="K598" s="3" t="n">
        <v>0.79</v>
      </c>
      <c r="L598" s="3" t="n">
        <v>0.735</v>
      </c>
      <c r="M598" s="3" t="n"/>
      <c r="N598" s="2" t="n">
        <v>0</v>
      </c>
      <c r="O598" s="2" t="inlineStr">
        <is>
          <t>imp_cout2_A0, imp_cout2_A1</t>
        </is>
      </c>
      <c r="P598" s="3" t="n">
        <v>8.119999999999999</v>
      </c>
      <c r="Q598" s="2" t="inlineStr">
        <is>
          <t>lasers</t>
        </is>
      </c>
    </row>
    <row r="599">
      <c r="A599" s="2" t="inlineStr">
        <is>
          <t>2026-10-15 14:32</t>
        </is>
      </c>
      <c r="B599" s="2" t="inlineStr">
        <is>
          <t>eb108ec +modifs</t>
        </is>
      </c>
      <c r="C599" s="2" t="inlineStr">
        <is>
          <t>22. Lasers : impacts coupes (laserimpacts=0)</t>
        </is>
      </c>
      <c r="D599" s="2" t="inlineStr">
        <is>
          <t>adaptive=0, laserimpacts=0, immobile, banc rapide, 19 cas</t>
        </is>
      </c>
      <c r="E599" s="2" t="n">
        <v>2</v>
      </c>
      <c r="F599" s="2" t="inlineStr">
        <is>
          <t>L1 eventails 200 x 1000 traits / sous les trusses</t>
        </is>
      </c>
      <c r="G599" s="3" t="n">
        <v>12.05</v>
      </c>
      <c r="H599" s="4">
        <f>IF(G599&gt;0,1000/G599,"")</f>
        <v/>
      </c>
      <c r="I599" s="3" t="n">
        <v>11.085</v>
      </c>
      <c r="J599" s="3" t="n">
        <v>10.455</v>
      </c>
      <c r="K599" s="3" t="n">
        <v>0.6879999999999999</v>
      </c>
      <c r="L599" s="3" t="n">
        <v>0.833</v>
      </c>
      <c r="M599" s="3" t="n"/>
      <c r="N599" s="2" t="n">
        <v>0</v>
      </c>
      <c r="O599" s="2" t="inlineStr">
        <is>
          <t>imp_cout2_A0, imp_cout2_A1</t>
        </is>
      </c>
      <c r="P599" s="3" t="n">
        <v>7.38</v>
      </c>
      <c r="Q599" s="2" t="inlineStr">
        <is>
          <t>lasers</t>
        </is>
      </c>
    </row>
    <row r="600">
      <c r="A600" s="2" t="inlineStr">
        <is>
          <t>2026-10-15 14:32</t>
        </is>
      </c>
      <c r="B600" s="2" t="inlineStr">
        <is>
          <t>eb108ec +modifs</t>
        </is>
      </c>
      <c r="C600" s="2" t="inlineStr">
        <is>
          <t>22. Lasers : impacts coupes (laserimpacts=0)</t>
        </is>
      </c>
      <c r="D600" s="2" t="inlineStr">
        <is>
          <t>adaptive=0, laserimpacts=0, immobile, banc rapide, 19 cas</t>
        </is>
      </c>
      <c r="E600" s="2" t="n">
        <v>2</v>
      </c>
      <c r="F600" s="2" t="inlineStr">
        <is>
          <t>L2 cones 200 x 32 segments / public</t>
        </is>
      </c>
      <c r="G600" s="3" t="n">
        <v>18.28</v>
      </c>
      <c r="H600" s="4">
        <f>IF(G600&gt;0,1000/G600,"")</f>
        <v/>
      </c>
      <c r="I600" s="3" t="n">
        <v>17.475</v>
      </c>
      <c r="J600" s="3" t="n">
        <v>16.56</v>
      </c>
      <c r="K600" s="3" t="n">
        <v>0.79</v>
      </c>
      <c r="L600" s="3" t="n">
        <v>0.6830000000000001</v>
      </c>
      <c r="M600" s="3" t="n"/>
      <c r="N600" s="2" t="n">
        <v>0</v>
      </c>
      <c r="O600" s="2" t="inlineStr">
        <is>
          <t>imp_cout2_A0, imp_cout2_A1</t>
        </is>
      </c>
      <c r="P600" s="3" t="n">
        <v>13.591</v>
      </c>
      <c r="Q600" s="2" t="inlineStr">
        <is>
          <t>lasers</t>
        </is>
      </c>
    </row>
    <row r="601">
      <c r="A601" s="2" t="inlineStr">
        <is>
          <t>2026-10-15 14:32</t>
        </is>
      </c>
      <c r="B601" s="2" t="inlineStr">
        <is>
          <t>eb108ec +modifs</t>
        </is>
      </c>
      <c r="C601" s="2" t="inlineStr">
        <is>
          <t>22. Lasers : impacts coupes (laserimpacts=0)</t>
        </is>
      </c>
      <c r="D601" s="2" t="inlineStr">
        <is>
          <t>adaptive=0, laserimpacts=0, immobile, banc rapide, 19 cas</t>
        </is>
      </c>
      <c r="E601" s="2" t="n">
        <v>2</v>
      </c>
      <c r="F601" s="2" t="inlineStr">
        <is>
          <t>L2 cones 200 x 32 segments / scene</t>
        </is>
      </c>
      <c r="G601" s="3" t="n">
        <v>18.14</v>
      </c>
      <c r="H601" s="4">
        <f>IF(G601&gt;0,1000/G601,"")</f>
        <v/>
      </c>
      <c r="I601" s="3" t="n">
        <v>17.455</v>
      </c>
      <c r="J601" s="3" t="n">
        <v>16.58</v>
      </c>
      <c r="K601" s="3" t="n">
        <v>0.675</v>
      </c>
      <c r="L601" s="3" t="n">
        <v>0.721</v>
      </c>
      <c r="M601" s="3" t="n"/>
      <c r="N601" s="2" t="n">
        <v>0</v>
      </c>
      <c r="O601" s="2" t="inlineStr">
        <is>
          <t>imp_cout2_A0, imp_cout2_A1</t>
        </is>
      </c>
      <c r="P601" s="3" t="n">
        <v>13.35</v>
      </c>
      <c r="Q601" s="2" t="inlineStr">
        <is>
          <t>lasers</t>
        </is>
      </c>
    </row>
    <row r="602">
      <c r="A602" s="2" t="inlineStr">
        <is>
          <t>2026-10-15 14:32</t>
        </is>
      </c>
      <c r="B602" s="2" t="inlineStr">
        <is>
          <t>eb108ec +modifs</t>
        </is>
      </c>
      <c r="C602" s="2" t="inlineStr">
        <is>
          <t>22. Lasers : impacts coupes (laserimpacts=0)</t>
        </is>
      </c>
      <c r="D602" s="2" t="inlineStr">
        <is>
          <t>adaptive=0, laserimpacts=0, immobile, banc rapide, 19 cas</t>
        </is>
      </c>
      <c r="E602" s="2" t="n">
        <v>2</v>
      </c>
      <c r="F602" s="2" t="inlineStr">
        <is>
          <t>L3 camera dans les nappes</t>
        </is>
      </c>
      <c r="G602" s="3" t="n">
        <v>13.19</v>
      </c>
      <c r="H602" s="4">
        <f>IF(G602&gt;0,1000/G602,"")</f>
        <v/>
      </c>
      <c r="I602" s="3" t="n">
        <v>12.33</v>
      </c>
      <c r="J602" s="3" t="n">
        <v>11.73</v>
      </c>
      <c r="K602" s="3" t="n">
        <v>0.744</v>
      </c>
      <c r="L602" s="3" t="n">
        <v>0.746</v>
      </c>
      <c r="M602" s="3" t="n"/>
      <c r="N602" s="2" t="n">
        <v>0</v>
      </c>
      <c r="O602" s="2" t="inlineStr">
        <is>
          <t>imp_cout2_A0, imp_cout2_A1</t>
        </is>
      </c>
      <c r="P602" s="3" t="n">
        <v>8.645</v>
      </c>
      <c r="Q602" s="2" t="inlineStr">
        <is>
          <t>lasers</t>
        </is>
      </c>
    </row>
    <row r="603">
      <c r="A603" s="2" t="inlineStr">
        <is>
          <t>2026-10-15 14:32</t>
        </is>
      </c>
      <c r="B603" s="2" t="inlineStr">
        <is>
          <t>eb108ec +modifs</t>
        </is>
      </c>
      <c r="C603" s="2" t="inlineStr">
        <is>
          <t>22. Lasers : impacts coupes (laserimpacts=0)</t>
        </is>
      </c>
      <c r="D603" s="2" t="inlineStr">
        <is>
          <t>adaptive=0, laserimpacts=0, immobile, banc rapide, 19 cas</t>
        </is>
      </c>
      <c r="E603" s="2" t="n">
        <v>2</v>
      </c>
      <c r="F603" s="2" t="inlineStr">
        <is>
          <t>L4 200 x 8 traits separes / public</t>
        </is>
      </c>
      <c r="G603" s="3" t="n">
        <v>7.735</v>
      </c>
      <c r="H603" s="4">
        <f>IF(G603&gt;0,1000/G603,"")</f>
        <v/>
      </c>
      <c r="I603" s="3" t="n">
        <v>7.065</v>
      </c>
      <c r="J603" s="3" t="n">
        <v>6.895</v>
      </c>
      <c r="K603" s="3" t="n">
        <v>0.536</v>
      </c>
      <c r="L603" s="3" t="n">
        <v>2.839</v>
      </c>
      <c r="M603" s="3" t="n"/>
      <c r="N603" s="2" t="n">
        <v>0</v>
      </c>
      <c r="O603" s="2" t="inlineStr">
        <is>
          <t>imp_cout2_A0, imp_cout2_A1</t>
        </is>
      </c>
      <c r="P603" s="3" t="n">
        <v>1.635</v>
      </c>
      <c r="Q603" s="2" t="inlineStr">
        <is>
          <t>lasers</t>
        </is>
      </c>
    </row>
    <row r="604">
      <c r="A604" s="2" t="inlineStr">
        <is>
          <t>2026-10-15 14:32</t>
        </is>
      </c>
      <c r="B604" s="2" t="inlineStr">
        <is>
          <t>eb108ec +modifs</t>
        </is>
      </c>
      <c r="C604" s="2" t="inlineStr">
        <is>
          <t>22. Lasers : impacts coupes (laserimpacts=0)</t>
        </is>
      </c>
      <c r="D604" s="2" t="inlineStr">
        <is>
          <t>adaptive=0, laserimpacts=0, immobile, banc rapide, 19 cas</t>
        </is>
      </c>
      <c r="E604" s="2" t="n">
        <v>2</v>
      </c>
      <c r="F604" s="2" t="inlineStr">
        <is>
          <t>L5 nappes en gros plan, fumee epaisse</t>
        </is>
      </c>
      <c r="G604" s="3" t="n">
        <v>12.71</v>
      </c>
      <c r="H604" s="4">
        <f>IF(G604&gt;0,1000/G604,"")</f>
        <v/>
      </c>
      <c r="I604" s="3" t="n">
        <v>12.11</v>
      </c>
      <c r="J604" s="3" t="n">
        <v>11.515</v>
      </c>
      <c r="K604" s="3" t="n">
        <v>0.803</v>
      </c>
      <c r="L604" s="3" t="n">
        <v>0.6919999999999999</v>
      </c>
      <c r="M604" s="3" t="n"/>
      <c r="N604" s="2" t="n">
        <v>0</v>
      </c>
      <c r="O604" s="2" t="inlineStr">
        <is>
          <t>imp_cout2_A0, imp_cout2_A1</t>
        </is>
      </c>
      <c r="P604" s="3" t="n">
        <v>8.544</v>
      </c>
      <c r="Q604" s="2" t="inlineStr">
        <is>
          <t>lasers</t>
        </is>
      </c>
    </row>
    <row r="605">
      <c r="A605" s="2" t="inlineStr">
        <is>
          <t>2026-10-15 14:32</t>
        </is>
      </c>
      <c r="B605" s="2" t="inlineStr">
        <is>
          <t>eb108ec +modifs</t>
        </is>
      </c>
      <c r="C605" s="2" t="inlineStr">
        <is>
          <t>22. Lasers : impacts coupes (laserimpacts=0)</t>
        </is>
      </c>
      <c r="D605" s="2" t="inlineStr">
        <is>
          <t>adaptive=0, laserimpacts=0, immobile, banc rapide, 19 cas</t>
        </is>
      </c>
      <c r="E605" s="2" t="n">
        <v>2</v>
      </c>
      <c r="F605" s="2" t="inlineStr">
        <is>
          <t>L6 traits vers le sol et les obstacles / public</t>
        </is>
      </c>
      <c r="G605" s="3" t="n">
        <v>15.34</v>
      </c>
      <c r="H605" s="4">
        <f>IF(G605&gt;0,1000/G605,"")</f>
        <v/>
      </c>
      <c r="I605" s="3" t="n">
        <v>14.465</v>
      </c>
      <c r="J605" s="3" t="n">
        <v>13.055</v>
      </c>
      <c r="K605" s="3" t="n">
        <v>0.794</v>
      </c>
      <c r="L605" s="3" t="n">
        <v>0.6919999999999999</v>
      </c>
      <c r="M605" s="3" t="n"/>
      <c r="N605" s="2" t="n">
        <v>0</v>
      </c>
      <c r="O605" s="2" t="inlineStr">
        <is>
          <t>imp_cout2_A0, imp_cout2_A1</t>
        </is>
      </c>
      <c r="P605" s="3" t="n">
        <v>10.093</v>
      </c>
      <c r="Q605" s="2" t="inlineStr">
        <is>
          <t>lasers</t>
        </is>
      </c>
    </row>
    <row r="606">
      <c r="A606" s="2" t="inlineStr">
        <is>
          <t>2026-10-15 14:32</t>
        </is>
      </c>
      <c r="B606" s="2" t="inlineStr">
        <is>
          <t>eb108ec +modifs</t>
        </is>
      </c>
      <c r="C606" s="2" t="inlineStr">
        <is>
          <t>22. Lasers : impacts coupes (laserimpacts=0)</t>
        </is>
      </c>
      <c r="D606" s="2" t="inlineStr">
        <is>
          <t>adaptive=0, laserimpacts=0, immobile, banc rapide, 19 cas</t>
        </is>
      </c>
      <c r="E606" s="2" t="n">
        <v>2</v>
      </c>
      <c r="F606" s="2" t="inlineStr">
        <is>
          <t>M1 100 lyres + 100 lasers / public</t>
        </is>
      </c>
      <c r="G606" s="3" t="n">
        <v>11.605</v>
      </c>
      <c r="H606" s="4">
        <f>IF(G606&gt;0,1000/G606,"")</f>
        <v/>
      </c>
      <c r="I606" s="3" t="n">
        <v>10.675</v>
      </c>
      <c r="J606" s="3" t="n">
        <v>10.065</v>
      </c>
      <c r="K606" s="3" t="n">
        <v>1.241</v>
      </c>
      <c r="L606" s="3" t="n">
        <v>1.422</v>
      </c>
      <c r="M606" s="3" t="n"/>
      <c r="N606" s="2" t="n">
        <v>49</v>
      </c>
      <c r="O606" s="2" t="inlineStr">
        <is>
          <t>imp_cout2_A0, imp_cout2_A1</t>
        </is>
      </c>
      <c r="P606" s="3" t="n">
        <v>4.907</v>
      </c>
      <c r="Q606" s="2" t="inlineStr">
        <is>
          <t>lasers</t>
        </is>
      </c>
    </row>
    <row r="607">
      <c r="A607" s="2" t="inlineStr">
        <is>
          <t>2026-10-15 14:32</t>
        </is>
      </c>
      <c r="B607" s="2" t="inlineStr">
        <is>
          <t>eb108ec +modifs</t>
        </is>
      </c>
      <c r="C607" s="2" t="inlineStr">
        <is>
          <t>22. Lasers : impacts coupes (laserimpacts=0)</t>
        </is>
      </c>
      <c r="D607" s="2" t="inlineStr">
        <is>
          <t>adaptive=0, laserimpacts=0, immobile, banc rapide, 19 cas</t>
        </is>
      </c>
      <c r="E607" s="2" t="n">
        <v>2</v>
      </c>
      <c r="F607" s="2" t="inlineStr">
        <is>
          <t>M1 100 lyres + 100 lasers / scene</t>
        </is>
      </c>
      <c r="G607" s="3" t="n">
        <v>11.485</v>
      </c>
      <c r="H607" s="4">
        <f>IF(G607&gt;0,1000/G607,"")</f>
        <v/>
      </c>
      <c r="I607" s="3" t="n">
        <v>10.545</v>
      </c>
      <c r="J607" s="3" t="n">
        <v>9.055</v>
      </c>
      <c r="K607" s="3" t="n">
        <v>1.181</v>
      </c>
      <c r="L607" s="3" t="n">
        <v>1.406</v>
      </c>
      <c r="M607" s="3" t="n"/>
      <c r="N607" s="2" t="n">
        <v>49</v>
      </c>
      <c r="O607" s="2" t="inlineStr">
        <is>
          <t>imp_cout2_A0, imp_cout2_A1</t>
        </is>
      </c>
      <c r="P607" s="3" t="n">
        <v>4.242</v>
      </c>
      <c r="Q607" s="2" t="inlineStr">
        <is>
          <t>lasers</t>
        </is>
      </c>
    </row>
    <row r="608">
      <c r="A608" s="2" t="inlineStr">
        <is>
          <t>2026-10-15 14:32</t>
        </is>
      </c>
      <c r="B608" s="2" t="inlineStr">
        <is>
          <t>eb108ec +modifs</t>
        </is>
      </c>
      <c r="C608" s="2" t="inlineStr">
        <is>
          <t>22. Lasers : impacts coupes (laserimpacts=0)</t>
        </is>
      </c>
      <c r="D608" s="2" t="inlineStr">
        <is>
          <t>adaptive=0, laserimpacts=0, immobile, banc rapide, 19 cas</t>
        </is>
      </c>
      <c r="E608" s="2" t="n">
        <v>2</v>
      </c>
      <c r="F608" s="2" t="inlineStr">
        <is>
          <t>M1 100 lyres + 100 lasers / sous les trusses</t>
        </is>
      </c>
      <c r="G608" s="3" t="n">
        <v>10.47</v>
      </c>
      <c r="H608" s="4">
        <f>IF(G608&gt;0,1000/G608,"")</f>
        <v/>
      </c>
      <c r="I608" s="3" t="n">
        <v>9.039999999999999</v>
      </c>
      <c r="J608" s="3" t="n">
        <v>8.195</v>
      </c>
      <c r="K608" s="3" t="n">
        <v>0.914</v>
      </c>
      <c r="L608" s="3" t="n">
        <v>1.315</v>
      </c>
      <c r="M608" s="3" t="n"/>
      <c r="N608" s="2" t="n">
        <v>49</v>
      </c>
      <c r="O608" s="2" t="inlineStr">
        <is>
          <t>imp_cout2_A0, imp_cout2_A1</t>
        </is>
      </c>
      <c r="P608" s="3" t="n">
        <v>3.7</v>
      </c>
      <c r="Q608" s="2" t="inlineStr">
        <is>
          <t>lasers</t>
        </is>
      </c>
    </row>
    <row r="609">
      <c r="A609" s="2" t="inlineStr">
        <is>
          <t>2026-10-15 14:32</t>
        </is>
      </c>
      <c r="B609" s="2" t="inlineStr">
        <is>
          <t>eb108ec +modifs</t>
        </is>
      </c>
      <c r="C609" s="2" t="inlineStr">
        <is>
          <t>22. Lasers : impacts coupes (laserimpacts=0)</t>
        </is>
      </c>
      <c r="D609" s="2" t="inlineStr">
        <is>
          <t>adaptive=0, laserimpacts=0, immobile, banc rapide, 19 cas</t>
        </is>
      </c>
      <c r="E609" s="2" t="n">
        <v>2</v>
      </c>
      <c r="F609" s="2" t="inlineStr">
        <is>
          <t>sans lasers (scene seule) / public</t>
        </is>
      </c>
      <c r="G609" s="3" t="n">
        <v>5.195</v>
      </c>
      <c r="H609" s="4">
        <f>IF(G609&gt;0,1000/G609,"")</f>
        <v/>
      </c>
      <c r="I609" s="3" t="n">
        <v>3.13</v>
      </c>
      <c r="J609" s="3" t="n">
        <v>2.595</v>
      </c>
      <c r="K609" s="3" t="n">
        <v>0.779</v>
      </c>
      <c r="L609" s="3" t="n">
        <v>0.675</v>
      </c>
      <c r="M609" s="3" t="n"/>
      <c r="N609" s="2" t="n">
        <v>0</v>
      </c>
      <c r="O609" s="2" t="inlineStr">
        <is>
          <t>imp_cout2_A0, imp_cout2_A1</t>
        </is>
      </c>
      <c r="P609" s="3" t="n"/>
      <c r="Q609" s="2" t="inlineStr">
        <is>
          <t>lasers</t>
        </is>
      </c>
    </row>
    <row r="610">
      <c r="A610" s="2" t="inlineStr">
        <is>
          <t>2026-10-15 14:32</t>
        </is>
      </c>
      <c r="B610" s="2" t="inlineStr">
        <is>
          <t>eb108ec +modifs</t>
        </is>
      </c>
      <c r="C610" s="2" t="inlineStr">
        <is>
          <t>22. Lasers : impacts coupes (laserimpacts=0)</t>
        </is>
      </c>
      <c r="D610" s="2" t="inlineStr">
        <is>
          <t>adaptive=0, laserimpacts=0, immobile, banc rapide, 19 cas</t>
        </is>
      </c>
      <c r="E610" s="2" t="n">
        <v>2</v>
      </c>
      <c r="F610" s="2" t="inlineStr">
        <is>
          <t>L7 programmeur : formes, degrades, effets / public</t>
        </is>
      </c>
      <c r="G610" s="3" t="n">
        <v>26.85</v>
      </c>
      <c r="H610" s="4">
        <f>IF(G610&gt;0,1000/G610,"")</f>
        <v/>
      </c>
      <c r="I610" s="3" t="n">
        <v>25.955</v>
      </c>
      <c r="J610" s="3" t="n">
        <v>25.235</v>
      </c>
      <c r="K610" s="3" t="n">
        <v>0.752</v>
      </c>
      <c r="L610" s="3" t="n">
        <v>0.609</v>
      </c>
      <c r="M610" s="3" t="n"/>
      <c r="N610" s="2" t="n">
        <v>0</v>
      </c>
      <c r="O610" s="2" t="inlineStr">
        <is>
          <t>imp_cout2_A0, imp_cout2_A1</t>
        </is>
      </c>
      <c r="P610" s="3" t="n">
        <v>21.937</v>
      </c>
      <c r="Q610" s="2" t="inlineStr">
        <is>
          <t>lasers</t>
        </is>
      </c>
    </row>
    <row r="611">
      <c r="A611" s="2" t="inlineStr">
        <is>
          <t>2026-10-15 14:32</t>
        </is>
      </c>
      <c r="B611" s="2" t="inlineStr">
        <is>
          <t>eb108ec +modifs</t>
        </is>
      </c>
      <c r="C611" s="2" t="inlineStr">
        <is>
          <t>22. Lasers : impacts coupes (laserimpacts=0)</t>
        </is>
      </c>
      <c r="D611" s="2" t="inlineStr">
        <is>
          <t>adaptive=0, laserimpacts=0, immobile, banc rapide, 19 cas</t>
        </is>
      </c>
      <c r="E611" s="2" t="n">
        <v>2</v>
      </c>
      <c r="F611" s="2" t="inlineStr">
        <is>
          <t>I1 ILDA nappes (banque Nappes) / public</t>
        </is>
      </c>
      <c r="G611" s="3" t="n">
        <v>41.56</v>
      </c>
      <c r="H611" s="4">
        <f>IF(G611&gt;0,1000/G611,"")</f>
        <v/>
      </c>
      <c r="I611" s="3" t="n">
        <v>40.79</v>
      </c>
      <c r="J611" s="3" t="n">
        <v>40.47</v>
      </c>
      <c r="K611" s="3" t="n">
        <v>0.764</v>
      </c>
      <c r="L611" s="3" t="n">
        <v>0.6840000000000001</v>
      </c>
      <c r="M611" s="3" t="n"/>
      <c r="N611" s="2" t="n">
        <v>0</v>
      </c>
      <c r="O611" s="2" t="inlineStr">
        <is>
          <t>imp_cout2_A0, imp_cout2_A1</t>
        </is>
      </c>
      <c r="P611" s="3" t="n">
        <v>36.915</v>
      </c>
      <c r="Q611" s="2" t="inlineStr">
        <is>
          <t>lasers</t>
        </is>
      </c>
    </row>
    <row r="612">
      <c r="A612" s="2" t="inlineStr">
        <is>
          <t>2026-10-15 14:32</t>
        </is>
      </c>
      <c r="B612" s="2" t="inlineStr">
        <is>
          <t>eb108ec +modifs</t>
        </is>
      </c>
      <c r="C612" s="2" t="inlineStr">
        <is>
          <t>22. Lasers : impacts coupes (laserimpacts=0)</t>
        </is>
      </c>
      <c r="D612" s="2" t="inlineStr">
        <is>
          <t>adaptive=0, laserimpacts=0, immobile, banc rapide, 19 cas</t>
        </is>
      </c>
      <c r="E612" s="2" t="n">
        <v>2</v>
      </c>
      <c r="F612" s="2" t="inlineStr">
        <is>
          <t>I2 ILDA faisceaux (banque Faisceaux) / public</t>
        </is>
      </c>
      <c r="G612" s="3" t="n">
        <v>7.83</v>
      </c>
      <c r="H612" s="4">
        <f>IF(G612&gt;0,1000/G612,"")</f>
        <v/>
      </c>
      <c r="I612" s="3" t="n">
        <v>6.615</v>
      </c>
      <c r="J612" s="3" t="n">
        <v>6.175</v>
      </c>
      <c r="K612" s="3" t="n">
        <v>0.6840000000000001</v>
      </c>
      <c r="L612" s="3" t="n">
        <v>0.591</v>
      </c>
      <c r="M612" s="3" t="n"/>
      <c r="N612" s="2" t="n">
        <v>0</v>
      </c>
      <c r="O612" s="2" t="inlineStr">
        <is>
          <t>imp_cout2_A0, imp_cout2_A1</t>
        </is>
      </c>
      <c r="P612" s="3" t="n">
        <v>2.064</v>
      </c>
      <c r="Q612" s="2" t="inlineStr">
        <is>
          <t>lasers</t>
        </is>
      </c>
    </row>
    <row r="613">
      <c r="A613" s="2" t="inlineStr">
        <is>
          <t>2026-10-15 14:32</t>
        </is>
      </c>
      <c r="B613" s="2" t="inlineStr">
        <is>
          <t>eb108ec +modifs</t>
        </is>
      </c>
      <c r="C613" s="2" t="inlineStr">
        <is>
          <t>22. Lasers : impacts coupes (laserimpacts=0)</t>
        </is>
      </c>
      <c r="D613" s="2" t="inlineStr">
        <is>
          <t>adaptive=0, laserimpacts=0, immobile, banc rapide, 19 cas</t>
        </is>
      </c>
      <c r="E613" s="2" t="n">
        <v>2</v>
      </c>
      <c r="F613" s="2" t="inlineStr">
        <is>
          <t>I3 ILDA geometrie (banque Geometrie) / public</t>
        </is>
      </c>
      <c r="G613" s="3" t="n">
        <v>57.525</v>
      </c>
      <c r="H613" s="4">
        <f>IF(G613&gt;0,1000/G613,"")</f>
        <v/>
      </c>
      <c r="I613" s="3" t="n">
        <v>56.66</v>
      </c>
      <c r="J613" s="3" t="n">
        <v>55.835</v>
      </c>
      <c r="K613" s="3" t="n">
        <v>0.726</v>
      </c>
      <c r="L613" s="3" t="n">
        <v>0.616</v>
      </c>
      <c r="M613" s="3" t="n"/>
      <c r="N613" s="2" t="n">
        <v>0</v>
      </c>
      <c r="O613" s="2" t="inlineStr">
        <is>
          <t>imp_cout2_A0, imp_cout2_A1</t>
        </is>
      </c>
      <c r="P613" s="3" t="n">
        <v>52.444</v>
      </c>
      <c r="Q613" s="2" t="inlineStr">
        <is>
          <t>lasers</t>
        </is>
      </c>
    </row>
    <row r="614">
      <c r="A614" s="2" t="inlineStr">
        <is>
          <t>2026-10-15 14:32</t>
        </is>
      </c>
      <c r="B614" s="2" t="inlineStr">
        <is>
          <t>eb108ec +modifs</t>
        </is>
      </c>
      <c r="C614" s="2" t="inlineStr">
        <is>
          <t>22. Lasers : impacts coupes (laserimpacts=0)</t>
        </is>
      </c>
      <c r="D614" s="2" t="inlineStr">
        <is>
          <t>adaptive=0, laserimpacts=0, immobile, banc rapide, 19 cas</t>
        </is>
      </c>
      <c r="E614" s="2" t="n">
        <v>2</v>
      </c>
      <c r="F614" s="2" t="inlineStr">
        <is>
          <t>I4 ILDA tunnels (banque Tunnels) / public</t>
        </is>
      </c>
      <c r="G614" s="3" t="n">
        <v>39.09</v>
      </c>
      <c r="H614" s="4">
        <f>IF(G614&gt;0,1000/G614,"")</f>
        <v/>
      </c>
      <c r="I614" s="3" t="n">
        <v>38.42</v>
      </c>
      <c r="J614" s="3" t="n">
        <v>37.93</v>
      </c>
      <c r="K614" s="3" t="n">
        <v>0.767</v>
      </c>
      <c r="L614" s="3" t="n">
        <v>0.6850000000000001</v>
      </c>
      <c r="M614" s="3" t="n"/>
      <c r="N614" s="2" t="n">
        <v>0</v>
      </c>
      <c r="O614" s="2" t="inlineStr">
        <is>
          <t>imp_cout2_A0, imp_cout2_A1</t>
        </is>
      </c>
      <c r="P614" s="3" t="n">
        <v>34.133</v>
      </c>
      <c r="Q614" s="2" t="inlineStr">
        <is>
          <t>lasers</t>
        </is>
      </c>
    </row>
    <row r="615">
      <c r="A615" s="2" t="inlineStr">
        <is>
          <t>2026-10-15 14:32</t>
        </is>
      </c>
      <c r="B615" s="2" t="inlineStr">
        <is>
          <t>eb108ec +modifs</t>
        </is>
      </c>
      <c r="C615" s="2" t="inlineStr">
        <is>
          <t>22. Lasers : impacts coupes (laserimpacts=0)</t>
        </is>
      </c>
      <c r="D615" s="2" t="inlineStr">
        <is>
          <t>adaptive=0, laserimpacts=0, immobile, banc rapide, 19 cas</t>
        </is>
      </c>
      <c r="E615" s="2" t="n">
        <v>2</v>
      </c>
      <c r="F615" s="2" t="inlineStr">
        <is>
          <t>L1 en mode ligne (nappes continues) / public</t>
        </is>
      </c>
      <c r="G615" s="3" t="n">
        <v>12.775</v>
      </c>
      <c r="H615" s="4">
        <f>IF(G615&gt;0,1000/G615,"")</f>
        <v/>
      </c>
      <c r="I615" s="3" t="n">
        <v>12.145</v>
      </c>
      <c r="J615" s="3" t="n">
        <v>11.55</v>
      </c>
      <c r="K615" s="3" t="n">
        <v>0.779</v>
      </c>
      <c r="L615" s="3" t="n">
        <v>0.6899999999999999</v>
      </c>
      <c r="M615" s="3" t="n"/>
      <c r="N615" s="2" t="n">
        <v>0</v>
      </c>
      <c r="O615" s="2" t="inlineStr">
        <is>
          <t>imp_cout2_A0, imp_cout2_A1</t>
        </is>
      </c>
      <c r="P615" s="3" t="n">
        <v>8.428000000000001</v>
      </c>
      <c r="Q615" s="2" t="inlineStr">
        <is>
          <t>lasers</t>
        </is>
      </c>
    </row>
    <row r="616">
      <c r="A616" s="2" t="inlineStr">
        <is>
          <t>2026-10-15 14:32</t>
        </is>
      </c>
      <c r="B616" s="2" t="inlineStr">
        <is>
          <t>eb108ec +modifs</t>
        </is>
      </c>
      <c r="C616" s="2" t="inlineStr">
        <is>
          <t>22. Lasers : impacts sur les surfaces</t>
        </is>
      </c>
      <c r="D616" s="2" t="inlineStr">
        <is>
          <t>adaptive=0, laserimpacts=1, immobile, banc rapide, 19 cas</t>
        </is>
      </c>
      <c r="E616" s="2" t="n">
        <v>2</v>
      </c>
      <c r="F616" s="2" t="inlineStr">
        <is>
          <t>L1 eventails 200 x 1000 traits / public</t>
        </is>
      </c>
      <c r="G616" s="3" t="n">
        <v>14.275</v>
      </c>
      <c r="H616" s="4">
        <f>IF(G616&gt;0,1000/G616,"")</f>
        <v/>
      </c>
      <c r="I616" s="3" t="n">
        <v>13.61</v>
      </c>
      <c r="J616" s="3" t="n">
        <v>12.75</v>
      </c>
      <c r="K616" s="3" t="n">
        <v>0.77</v>
      </c>
      <c r="L616" s="3" t="n">
        <v>0.663</v>
      </c>
      <c r="M616" s="3" t="n"/>
      <c r="N616" s="2" t="n">
        <v>0</v>
      </c>
      <c r="O616" s="2" t="inlineStr">
        <is>
          <t>imp_cout2_B0, imp_cout2_B1</t>
        </is>
      </c>
      <c r="P616" s="3" t="n">
        <v>9.337</v>
      </c>
      <c r="Q616" s="2" t="inlineStr">
        <is>
          <t>lasers</t>
        </is>
      </c>
    </row>
    <row r="617">
      <c r="A617" s="2" t="inlineStr">
        <is>
          <t>2026-10-15 14:32</t>
        </is>
      </c>
      <c r="B617" s="2" t="inlineStr">
        <is>
          <t>eb108ec +modifs</t>
        </is>
      </c>
      <c r="C617" s="2" t="inlineStr">
        <is>
          <t>22. Lasers : impacts sur les surfaces</t>
        </is>
      </c>
      <c r="D617" s="2" t="inlineStr">
        <is>
          <t>adaptive=0, laserimpacts=1, immobile, banc rapide, 19 cas</t>
        </is>
      </c>
      <c r="E617" s="2" t="n">
        <v>2</v>
      </c>
      <c r="F617" s="2" t="inlineStr">
        <is>
          <t>L1 eventails 200 x 1000 traits / scene</t>
        </is>
      </c>
      <c r="G617" s="3" t="n">
        <v>13.835</v>
      </c>
      <c r="H617" s="4">
        <f>IF(G617&gt;0,1000/G617,"")</f>
        <v/>
      </c>
      <c r="I617" s="3" t="n">
        <v>12.54</v>
      </c>
      <c r="J617" s="3" t="n">
        <v>12.31</v>
      </c>
      <c r="K617" s="3" t="n">
        <v>0.926</v>
      </c>
      <c r="L617" s="3" t="n">
        <v>0.697</v>
      </c>
      <c r="M617" s="3" t="n"/>
      <c r="N617" s="2" t="n">
        <v>0</v>
      </c>
      <c r="O617" s="2" t="inlineStr">
        <is>
          <t>imp_cout2_B0, imp_cout2_B1</t>
        </is>
      </c>
      <c r="P617" s="3" t="n">
        <v>8.84</v>
      </c>
      <c r="Q617" s="2" t="inlineStr">
        <is>
          <t>lasers</t>
        </is>
      </c>
    </row>
    <row r="618">
      <c r="A618" s="2" t="inlineStr">
        <is>
          <t>2026-10-15 14:32</t>
        </is>
      </c>
      <c r="B618" s="2" t="inlineStr">
        <is>
          <t>eb108ec +modifs</t>
        </is>
      </c>
      <c r="C618" s="2" t="inlineStr">
        <is>
          <t>22. Lasers : impacts sur les surfaces</t>
        </is>
      </c>
      <c r="D618" s="2" t="inlineStr">
        <is>
          <t>adaptive=0, laserimpacts=1, immobile, banc rapide, 19 cas</t>
        </is>
      </c>
      <c r="E618" s="2" t="n">
        <v>2</v>
      </c>
      <c r="F618" s="2" t="inlineStr">
        <is>
          <t>L1 eventails 200 x 1000 traits / sous les trusses</t>
        </is>
      </c>
      <c r="G618" s="3" t="n">
        <v>12.57</v>
      </c>
      <c r="H618" s="4">
        <f>IF(G618&gt;0,1000/G618,"")</f>
        <v/>
      </c>
      <c r="I618" s="3" t="n">
        <v>11.93</v>
      </c>
      <c r="J618" s="3" t="n">
        <v>11.64</v>
      </c>
      <c r="K618" s="3" t="n">
        <v>0.798</v>
      </c>
      <c r="L618" s="3" t="n">
        <v>0.798</v>
      </c>
      <c r="M618" s="3" t="n"/>
      <c r="N618" s="2" t="n">
        <v>0</v>
      </c>
      <c r="O618" s="2" t="inlineStr">
        <is>
          <t>imp_cout2_B0, imp_cout2_B1</t>
        </is>
      </c>
      <c r="P618" s="3" t="n">
        <v>8.271000000000001</v>
      </c>
      <c r="Q618" s="2" t="inlineStr">
        <is>
          <t>lasers</t>
        </is>
      </c>
    </row>
    <row r="619">
      <c r="A619" s="2" t="inlineStr">
        <is>
          <t>2026-10-15 14:32</t>
        </is>
      </c>
      <c r="B619" s="2" t="inlineStr">
        <is>
          <t>eb108ec +modifs</t>
        </is>
      </c>
      <c r="C619" s="2" t="inlineStr">
        <is>
          <t>22. Lasers : impacts sur les surfaces</t>
        </is>
      </c>
      <c r="D619" s="2" t="inlineStr">
        <is>
          <t>adaptive=0, laserimpacts=1, immobile, banc rapide, 19 cas</t>
        </is>
      </c>
      <c r="E619" s="2" t="n">
        <v>2</v>
      </c>
      <c r="F619" s="2" t="inlineStr">
        <is>
          <t>L2 cones 200 x 32 segments / public</t>
        </is>
      </c>
      <c r="G619" s="3" t="n">
        <v>20.115</v>
      </c>
      <c r="H619" s="4">
        <f>IF(G619&gt;0,1000/G619,"")</f>
        <v/>
      </c>
      <c r="I619" s="3" t="n">
        <v>19.375</v>
      </c>
      <c r="J619" s="3" t="n">
        <v>18.425</v>
      </c>
      <c r="K619" s="3" t="n">
        <v>0.919</v>
      </c>
      <c r="L619" s="3" t="n">
        <v>0.598</v>
      </c>
      <c r="M619" s="3" t="n"/>
      <c r="N619" s="2" t="n">
        <v>0</v>
      </c>
      <c r="O619" s="2" t="inlineStr">
        <is>
          <t>imp_cout2_B0, imp_cout2_B1</t>
        </is>
      </c>
      <c r="P619" s="3" t="n">
        <v>15.095</v>
      </c>
      <c r="Q619" s="2" t="inlineStr">
        <is>
          <t>lasers</t>
        </is>
      </c>
    </row>
    <row r="620">
      <c r="A620" s="2" t="inlineStr">
        <is>
          <t>2026-10-15 14:32</t>
        </is>
      </c>
      <c r="B620" s="2" t="inlineStr">
        <is>
          <t>eb108ec +modifs</t>
        </is>
      </c>
      <c r="C620" s="2" t="inlineStr">
        <is>
          <t>22. Lasers : impacts sur les surfaces</t>
        </is>
      </c>
      <c r="D620" s="2" t="inlineStr">
        <is>
          <t>adaptive=0, laserimpacts=1, immobile, banc rapide, 19 cas</t>
        </is>
      </c>
      <c r="E620" s="2" t="n">
        <v>2</v>
      </c>
      <c r="F620" s="2" t="inlineStr">
        <is>
          <t>L2 cones 200 x 32 segments / scene</t>
        </is>
      </c>
      <c r="G620" s="3" t="n">
        <v>20.115</v>
      </c>
      <c r="H620" s="4">
        <f>IF(G620&gt;0,1000/G620,"")</f>
        <v/>
      </c>
      <c r="I620" s="3" t="n">
        <v>19.51</v>
      </c>
      <c r="J620" s="3" t="n">
        <v>18.485</v>
      </c>
      <c r="K620" s="3" t="n">
        <v>0.919</v>
      </c>
      <c r="L620" s="3" t="n">
        <v>0.628</v>
      </c>
      <c r="M620" s="3" t="n"/>
      <c r="N620" s="2" t="n">
        <v>0</v>
      </c>
      <c r="O620" s="2" t="inlineStr">
        <is>
          <t>imp_cout2_B0, imp_cout2_B1</t>
        </is>
      </c>
      <c r="P620" s="3" t="n">
        <v>15.213</v>
      </c>
      <c r="Q620" s="2" t="inlineStr">
        <is>
          <t>lasers</t>
        </is>
      </c>
    </row>
    <row r="621">
      <c r="A621" s="2" t="inlineStr">
        <is>
          <t>2026-10-15 14:32</t>
        </is>
      </c>
      <c r="B621" s="2" t="inlineStr">
        <is>
          <t>eb108ec +modifs</t>
        </is>
      </c>
      <c r="C621" s="2" t="inlineStr">
        <is>
          <t>22. Lasers : impacts sur les surfaces</t>
        </is>
      </c>
      <c r="D621" s="2" t="inlineStr">
        <is>
          <t>adaptive=0, laserimpacts=1, immobile, banc rapide, 19 cas</t>
        </is>
      </c>
      <c r="E621" s="2" t="n">
        <v>2</v>
      </c>
      <c r="F621" s="2" t="inlineStr">
        <is>
          <t>L3 camera dans les nappes</t>
        </is>
      </c>
      <c r="G621" s="3" t="n">
        <v>14.585</v>
      </c>
      <c r="H621" s="4">
        <f>IF(G621&gt;0,1000/G621,"")</f>
        <v/>
      </c>
      <c r="I621" s="3" t="n">
        <v>13.64</v>
      </c>
      <c r="J621" s="3" t="n">
        <v>13.725</v>
      </c>
      <c r="K621" s="3" t="n">
        <v>0.747</v>
      </c>
      <c r="L621" s="3" t="n">
        <v>0.602</v>
      </c>
      <c r="M621" s="3" t="n"/>
      <c r="N621" s="2" t="n">
        <v>0</v>
      </c>
      <c r="O621" s="2" t="inlineStr">
        <is>
          <t>imp_cout2_B0, imp_cout2_B1</t>
        </is>
      </c>
      <c r="P621" s="3" t="n">
        <v>10.276</v>
      </c>
      <c r="Q621" s="2" t="inlineStr">
        <is>
          <t>lasers</t>
        </is>
      </c>
    </row>
    <row r="622">
      <c r="A622" s="2" t="inlineStr">
        <is>
          <t>2026-10-15 14:32</t>
        </is>
      </c>
      <c r="B622" s="2" t="inlineStr">
        <is>
          <t>eb108ec +modifs</t>
        </is>
      </c>
      <c r="C622" s="2" t="inlineStr">
        <is>
          <t>22. Lasers : impacts sur les surfaces</t>
        </is>
      </c>
      <c r="D622" s="2" t="inlineStr">
        <is>
          <t>adaptive=0, laserimpacts=1, immobile, banc rapide, 19 cas</t>
        </is>
      </c>
      <c r="E622" s="2" t="n">
        <v>2</v>
      </c>
      <c r="F622" s="2" t="inlineStr">
        <is>
          <t>L4 200 x 8 traits separes / public</t>
        </is>
      </c>
      <c r="G622" s="3" t="n">
        <v>7.83</v>
      </c>
      <c r="H622" s="4">
        <f>IF(G622&gt;0,1000/G622,"")</f>
        <v/>
      </c>
      <c r="I622" s="3" t="n">
        <v>5.875</v>
      </c>
      <c r="J622" s="3" t="n">
        <v>6.245</v>
      </c>
      <c r="K622" s="3" t="n">
        <v>0.768</v>
      </c>
      <c r="L622" s="3" t="n">
        <v>0.495</v>
      </c>
      <c r="M622" s="3" t="n"/>
      <c r="N622" s="2" t="n">
        <v>0</v>
      </c>
      <c r="O622" s="2" t="inlineStr">
        <is>
          <t>imp_cout2_B0, imp_cout2_B1</t>
        </is>
      </c>
      <c r="P622" s="3" t="n">
        <v>1.637</v>
      </c>
      <c r="Q622" s="2" t="inlineStr">
        <is>
          <t>lasers</t>
        </is>
      </c>
    </row>
    <row r="623">
      <c r="A623" s="2" t="inlineStr">
        <is>
          <t>2026-10-15 14:32</t>
        </is>
      </c>
      <c r="B623" s="2" t="inlineStr">
        <is>
          <t>eb108ec +modifs</t>
        </is>
      </c>
      <c r="C623" s="2" t="inlineStr">
        <is>
          <t>22. Lasers : impacts sur les surfaces</t>
        </is>
      </c>
      <c r="D623" s="2" t="inlineStr">
        <is>
          <t>adaptive=0, laserimpacts=1, immobile, banc rapide, 19 cas</t>
        </is>
      </c>
      <c r="E623" s="2" t="n">
        <v>2</v>
      </c>
      <c r="F623" s="2" t="inlineStr">
        <is>
          <t>L5 nappes en gros plan, fumee epaisse</t>
        </is>
      </c>
      <c r="G623" s="3" t="n">
        <v>14.265</v>
      </c>
      <c r="H623" s="4">
        <f>IF(G623&gt;0,1000/G623,"")</f>
        <v/>
      </c>
      <c r="I623" s="3" t="n">
        <v>13.655</v>
      </c>
      <c r="J623" s="3" t="n">
        <v>13.785</v>
      </c>
      <c r="K623" s="3" t="n">
        <v>0.799</v>
      </c>
      <c r="L623" s="3" t="n">
        <v>0.576</v>
      </c>
      <c r="M623" s="3" t="n"/>
      <c r="N623" s="2" t="n">
        <v>0</v>
      </c>
      <c r="O623" s="2" t="inlineStr">
        <is>
          <t>imp_cout2_B0, imp_cout2_B1</t>
        </is>
      </c>
      <c r="P623" s="3" t="n">
        <v>10.149</v>
      </c>
      <c r="Q623" s="2" t="inlineStr">
        <is>
          <t>lasers</t>
        </is>
      </c>
    </row>
    <row r="624">
      <c r="A624" s="2" t="inlineStr">
        <is>
          <t>2026-10-15 14:32</t>
        </is>
      </c>
      <c r="B624" s="2" t="inlineStr">
        <is>
          <t>eb108ec +modifs</t>
        </is>
      </c>
      <c r="C624" s="2" t="inlineStr">
        <is>
          <t>22. Lasers : impacts sur les surfaces</t>
        </is>
      </c>
      <c r="D624" s="2" t="inlineStr">
        <is>
          <t>adaptive=0, laserimpacts=1, immobile, banc rapide, 19 cas</t>
        </is>
      </c>
      <c r="E624" s="2" t="n">
        <v>2</v>
      </c>
      <c r="F624" s="2" t="inlineStr">
        <is>
          <t>L6 traits vers le sol et les obstacles / public</t>
        </is>
      </c>
      <c r="G624" s="3" t="n">
        <v>16.64</v>
      </c>
      <c r="H624" s="4">
        <f>IF(G624&gt;0,1000/G624,"")</f>
        <v/>
      </c>
      <c r="I624" s="3" t="n">
        <v>15.93</v>
      </c>
      <c r="J624" s="3" t="n">
        <v>15.86</v>
      </c>
      <c r="K624" s="3" t="n">
        <v>0.785</v>
      </c>
      <c r="L624" s="3" t="n">
        <v>0.53</v>
      </c>
      <c r="M624" s="3" t="n"/>
      <c r="N624" s="2" t="n">
        <v>0</v>
      </c>
      <c r="O624" s="2" t="inlineStr">
        <is>
          <t>imp_cout2_B0, imp_cout2_B1</t>
        </is>
      </c>
      <c r="P624" s="3" t="n">
        <v>12.532</v>
      </c>
      <c r="Q624" s="2" t="inlineStr">
        <is>
          <t>lasers</t>
        </is>
      </c>
    </row>
    <row r="625">
      <c r="A625" s="2" t="inlineStr">
        <is>
          <t>2026-10-15 14:32</t>
        </is>
      </c>
      <c r="B625" s="2" t="inlineStr">
        <is>
          <t>eb108ec +modifs</t>
        </is>
      </c>
      <c r="C625" s="2" t="inlineStr">
        <is>
          <t>22. Lasers : impacts sur les surfaces</t>
        </is>
      </c>
      <c r="D625" s="2" t="inlineStr">
        <is>
          <t>adaptive=0, laserimpacts=1, immobile, banc rapide, 19 cas</t>
        </is>
      </c>
      <c r="E625" s="2" t="n">
        <v>2</v>
      </c>
      <c r="F625" s="2" t="inlineStr">
        <is>
          <t>M1 100 lyres + 100 lasers / public</t>
        </is>
      </c>
      <c r="G625" s="3" t="n">
        <v>12.64</v>
      </c>
      <c r="H625" s="4">
        <f>IF(G625&gt;0,1000/G625,"")</f>
        <v/>
      </c>
      <c r="I625" s="3" t="n">
        <v>11.885</v>
      </c>
      <c r="J625" s="3" t="n">
        <v>11.575</v>
      </c>
      <c r="K625" s="3" t="n">
        <v>1.39</v>
      </c>
      <c r="L625" s="3" t="n">
        <v>1.345</v>
      </c>
      <c r="M625" s="3" t="n"/>
      <c r="N625" s="2" t="n">
        <v>49</v>
      </c>
      <c r="O625" s="2" t="inlineStr">
        <is>
          <t>imp_cout2_B0, imp_cout2_B1</t>
        </is>
      </c>
      <c r="P625" s="3" t="n">
        <v>6.348</v>
      </c>
      <c r="Q625" s="2" t="inlineStr">
        <is>
          <t>lasers</t>
        </is>
      </c>
    </row>
    <row r="626">
      <c r="A626" s="2" t="inlineStr">
        <is>
          <t>2026-10-15 14:32</t>
        </is>
      </c>
      <c r="B626" s="2" t="inlineStr">
        <is>
          <t>eb108ec +modifs</t>
        </is>
      </c>
      <c r="C626" s="2" t="inlineStr">
        <is>
          <t>22. Lasers : impacts sur les surfaces</t>
        </is>
      </c>
      <c r="D626" s="2" t="inlineStr">
        <is>
          <t>adaptive=0, laserimpacts=1, immobile, banc rapide, 19 cas</t>
        </is>
      </c>
      <c r="E626" s="2" t="n">
        <v>2</v>
      </c>
      <c r="F626" s="2" t="inlineStr">
        <is>
          <t>M1 100 lyres + 100 lasers / scene</t>
        </is>
      </c>
      <c r="G626" s="3" t="n">
        <v>11.475</v>
      </c>
      <c r="H626" s="4">
        <f>IF(G626&gt;0,1000/G626,"")</f>
        <v/>
      </c>
      <c r="I626" s="3" t="n">
        <v>10.69</v>
      </c>
      <c r="J626" s="3" t="n">
        <v>10.48</v>
      </c>
      <c r="K626" s="3" t="n">
        <v>1.295</v>
      </c>
      <c r="L626" s="3" t="n">
        <v>1.323</v>
      </c>
      <c r="M626" s="3" t="n"/>
      <c r="N626" s="2" t="n">
        <v>49</v>
      </c>
      <c r="O626" s="2" t="inlineStr">
        <is>
          <t>imp_cout2_B0, imp_cout2_B1</t>
        </is>
      </c>
      <c r="P626" s="3" t="n">
        <v>5.393</v>
      </c>
      <c r="Q626" s="2" t="inlineStr">
        <is>
          <t>lasers</t>
        </is>
      </c>
    </row>
    <row r="627">
      <c r="A627" s="2" t="inlineStr">
        <is>
          <t>2026-10-15 14:32</t>
        </is>
      </c>
      <c r="B627" s="2" t="inlineStr">
        <is>
          <t>eb108ec +modifs</t>
        </is>
      </c>
      <c r="C627" s="2" t="inlineStr">
        <is>
          <t>22. Lasers : impacts sur les surfaces</t>
        </is>
      </c>
      <c r="D627" s="2" t="inlineStr">
        <is>
          <t>adaptive=0, laserimpacts=1, immobile, banc rapide, 19 cas</t>
        </is>
      </c>
      <c r="E627" s="2" t="n">
        <v>2</v>
      </c>
      <c r="F627" s="2" t="inlineStr">
        <is>
          <t>M1 100 lyres + 100 lasers / sous les trusses</t>
        </is>
      </c>
      <c r="G627" s="3" t="n">
        <v>11.07</v>
      </c>
      <c r="H627" s="4">
        <f>IF(G627&gt;0,1000/G627,"")</f>
        <v/>
      </c>
      <c r="I627" s="3" t="n">
        <v>10.245</v>
      </c>
      <c r="J627" s="3" t="n">
        <v>10.025</v>
      </c>
      <c r="K627" s="3" t="n">
        <v>1.108</v>
      </c>
      <c r="L627" s="3" t="n">
        <v>1.25</v>
      </c>
      <c r="M627" s="3" t="n"/>
      <c r="N627" s="2" t="n">
        <v>49</v>
      </c>
      <c r="O627" s="2" t="inlineStr">
        <is>
          <t>imp_cout2_B0, imp_cout2_B1</t>
        </is>
      </c>
      <c r="P627" s="3" t="n">
        <v>4.669</v>
      </c>
      <c r="Q627" s="2" t="inlineStr">
        <is>
          <t>lasers</t>
        </is>
      </c>
    </row>
    <row r="628">
      <c r="A628" s="2" t="inlineStr">
        <is>
          <t>2026-10-15 14:32</t>
        </is>
      </c>
      <c r="B628" s="2" t="inlineStr">
        <is>
          <t>eb108ec +modifs</t>
        </is>
      </c>
      <c r="C628" s="2" t="inlineStr">
        <is>
          <t>22. Lasers : impacts sur les surfaces</t>
        </is>
      </c>
      <c r="D628" s="2" t="inlineStr">
        <is>
          <t>adaptive=0, laserimpacts=1, immobile, banc rapide, 19 cas</t>
        </is>
      </c>
      <c r="E628" s="2" t="n">
        <v>2</v>
      </c>
      <c r="F628" s="2" t="inlineStr">
        <is>
          <t>sans lasers (scene seule) / public</t>
        </is>
      </c>
      <c r="G628" s="3" t="n">
        <v>5.235</v>
      </c>
      <c r="H628" s="4">
        <f>IF(G628&gt;0,1000/G628,"")</f>
        <v/>
      </c>
      <c r="I628" s="3" t="n">
        <v>2.71</v>
      </c>
      <c r="J628" s="3" t="n">
        <v>2.58</v>
      </c>
      <c r="K628" s="3" t="n">
        <v>0.783</v>
      </c>
      <c r="L628" s="3" t="n">
        <v>0.656</v>
      </c>
      <c r="M628" s="3" t="n"/>
      <c r="N628" s="2" t="n">
        <v>0</v>
      </c>
      <c r="O628" s="2" t="inlineStr">
        <is>
          <t>imp_cout2_B0, imp_cout2_B1</t>
        </is>
      </c>
      <c r="P628" s="3" t="n"/>
      <c r="Q628" s="2" t="inlineStr">
        <is>
          <t>lasers</t>
        </is>
      </c>
    </row>
    <row r="629">
      <c r="A629" s="2" t="inlineStr">
        <is>
          <t>2026-10-15 14:32</t>
        </is>
      </c>
      <c r="B629" s="2" t="inlineStr">
        <is>
          <t>eb108ec +modifs</t>
        </is>
      </c>
      <c r="C629" s="2" t="inlineStr">
        <is>
          <t>22. Lasers : impacts sur les surfaces</t>
        </is>
      </c>
      <c r="D629" s="2" t="inlineStr">
        <is>
          <t>adaptive=0, laserimpacts=1, immobile, banc rapide, 19 cas</t>
        </is>
      </c>
      <c r="E629" s="2" t="n">
        <v>2</v>
      </c>
      <c r="F629" s="2" t="inlineStr">
        <is>
          <t>L7 programmeur : formes, degrades, effets / public</t>
        </is>
      </c>
      <c r="G629" s="3" t="n">
        <v>29.605</v>
      </c>
      <c r="H629" s="4">
        <f>IF(G629&gt;0,1000/G629,"")</f>
        <v/>
      </c>
      <c r="I629" s="3" t="n">
        <v>28.83</v>
      </c>
      <c r="J629" s="3" t="n">
        <v>28.6</v>
      </c>
      <c r="K629" s="3" t="n">
        <v>0.917</v>
      </c>
      <c r="L629" s="3" t="n">
        <v>0.574</v>
      </c>
      <c r="M629" s="3" t="n"/>
      <c r="N629" s="2" t="n">
        <v>0</v>
      </c>
      <c r="O629" s="2" t="inlineStr">
        <is>
          <t>imp_cout2_B0, imp_cout2_B1</t>
        </is>
      </c>
      <c r="P629" s="3" t="n">
        <v>24.928</v>
      </c>
      <c r="Q629" s="2" t="inlineStr">
        <is>
          <t>lasers</t>
        </is>
      </c>
    </row>
    <row r="630">
      <c r="A630" s="2" t="inlineStr">
        <is>
          <t>2026-10-15 14:32</t>
        </is>
      </c>
      <c r="B630" s="2" t="inlineStr">
        <is>
          <t>eb108ec +modifs</t>
        </is>
      </c>
      <c r="C630" s="2" t="inlineStr">
        <is>
          <t>22. Lasers : impacts sur les surfaces</t>
        </is>
      </c>
      <c r="D630" s="2" t="inlineStr">
        <is>
          <t>adaptive=0, laserimpacts=1, immobile, banc rapide, 19 cas</t>
        </is>
      </c>
      <c r="E630" s="2" t="n">
        <v>2</v>
      </c>
      <c r="F630" s="2" t="inlineStr">
        <is>
          <t>I1 ILDA nappes (banque Nappes) / public</t>
        </is>
      </c>
      <c r="G630" s="3" t="n">
        <v>46.35</v>
      </c>
      <c r="H630" s="4">
        <f>IF(G630&gt;0,1000/G630,"")</f>
        <v/>
      </c>
      <c r="I630" s="3" t="n">
        <v>45.575</v>
      </c>
      <c r="J630" s="3" t="n">
        <v>45.41</v>
      </c>
      <c r="K630" s="3" t="n">
        <v>0.967</v>
      </c>
      <c r="L630" s="3" t="n">
        <v>0.518</v>
      </c>
      <c r="M630" s="3" t="n"/>
      <c r="N630" s="2" t="n">
        <v>0</v>
      </c>
      <c r="O630" s="2" t="inlineStr">
        <is>
          <t>imp_cout2_B0, imp_cout2_B1</t>
        </is>
      </c>
      <c r="P630" s="3" t="n">
        <v>41.604</v>
      </c>
      <c r="Q630" s="2" t="inlineStr">
        <is>
          <t>lasers</t>
        </is>
      </c>
    </row>
    <row r="631">
      <c r="A631" s="2" t="inlineStr">
        <is>
          <t>2026-10-15 14:32</t>
        </is>
      </c>
      <c r="B631" s="2" t="inlineStr">
        <is>
          <t>eb108ec +modifs</t>
        </is>
      </c>
      <c r="C631" s="2" t="inlineStr">
        <is>
          <t>22. Lasers : impacts sur les surfaces</t>
        </is>
      </c>
      <c r="D631" s="2" t="inlineStr">
        <is>
          <t>adaptive=0, laserimpacts=1, immobile, banc rapide, 19 cas</t>
        </is>
      </c>
      <c r="E631" s="2" t="n">
        <v>2</v>
      </c>
      <c r="F631" s="2" t="inlineStr">
        <is>
          <t>I2 ILDA faisceaux (banque Faisceaux) / public</t>
        </is>
      </c>
      <c r="G631" s="3" t="n">
        <v>7.8</v>
      </c>
      <c r="H631" s="4">
        <f>IF(G631&gt;0,1000/G631,"")</f>
        <v/>
      </c>
      <c r="I631" s="3" t="n">
        <v>6.975</v>
      </c>
      <c r="J631" s="3" t="n">
        <v>7.255</v>
      </c>
      <c r="K631" s="3" t="n">
        <v>0.866</v>
      </c>
      <c r="L631" s="3" t="n">
        <v>0.494</v>
      </c>
      <c r="M631" s="3" t="n"/>
      <c r="N631" s="2" t="n">
        <v>0</v>
      </c>
      <c r="O631" s="2" t="inlineStr">
        <is>
          <t>imp_cout2_B0, imp_cout2_B1</t>
        </is>
      </c>
      <c r="P631" s="3" t="n">
        <v>2.934</v>
      </c>
      <c r="Q631" s="2" t="inlineStr">
        <is>
          <t>lasers</t>
        </is>
      </c>
    </row>
    <row r="632">
      <c r="A632" s="2" t="inlineStr">
        <is>
          <t>2026-10-15 14:32</t>
        </is>
      </c>
      <c r="B632" s="2" t="inlineStr">
        <is>
          <t>eb108ec +modifs</t>
        </is>
      </c>
      <c r="C632" s="2" t="inlineStr">
        <is>
          <t>22. Lasers : impacts sur les surfaces</t>
        </is>
      </c>
      <c r="D632" s="2" t="inlineStr">
        <is>
          <t>adaptive=0, laserimpacts=1, immobile, banc rapide, 19 cas</t>
        </is>
      </c>
      <c r="E632" s="2" t="n">
        <v>2</v>
      </c>
      <c r="F632" s="2" t="inlineStr">
        <is>
          <t>I3 ILDA geometrie (banque Geometrie) / public</t>
        </is>
      </c>
      <c r="G632" s="3" t="n">
        <v>63.13</v>
      </c>
      <c r="H632" s="4">
        <f>IF(G632&gt;0,1000/G632,"")</f>
        <v/>
      </c>
      <c r="I632" s="3" t="n">
        <v>62.19</v>
      </c>
      <c r="J632" s="3" t="n">
        <v>61.925</v>
      </c>
      <c r="K632" s="3" t="n">
        <v>0.98</v>
      </c>
      <c r="L632" s="3" t="n">
        <v>0.589</v>
      </c>
      <c r="M632" s="3" t="n"/>
      <c r="N632" s="2" t="n">
        <v>0</v>
      </c>
      <c r="O632" s="2" t="inlineStr">
        <is>
          <t>imp_cout2_B0, imp_cout2_B1</t>
        </is>
      </c>
      <c r="P632" s="3" t="n">
        <v>57.98</v>
      </c>
      <c r="Q632" s="2" t="inlineStr">
        <is>
          <t>lasers</t>
        </is>
      </c>
    </row>
    <row r="633">
      <c r="A633" s="2" t="inlineStr">
        <is>
          <t>2026-10-15 14:32</t>
        </is>
      </c>
      <c r="B633" s="2" t="inlineStr">
        <is>
          <t>eb108ec +modifs</t>
        </is>
      </c>
      <c r="C633" s="2" t="inlineStr">
        <is>
          <t>22. Lasers : impacts sur les surfaces</t>
        </is>
      </c>
      <c r="D633" s="2" t="inlineStr">
        <is>
          <t>adaptive=0, laserimpacts=1, immobile, banc rapide, 19 cas</t>
        </is>
      </c>
      <c r="E633" s="2" t="n">
        <v>2</v>
      </c>
      <c r="F633" s="2" t="inlineStr">
        <is>
          <t>I4 ILDA tunnels (banque Tunnels) / public</t>
        </is>
      </c>
      <c r="G633" s="3" t="n">
        <v>43.97</v>
      </c>
      <c r="H633" s="4">
        <f>IF(G633&gt;0,1000/G633,"")</f>
        <v/>
      </c>
      <c r="I633" s="3" t="n">
        <v>43.105</v>
      </c>
      <c r="J633" s="3" t="n">
        <v>43.09</v>
      </c>
      <c r="K633" s="3" t="n">
        <v>0.98</v>
      </c>
      <c r="L633" s="3" t="n">
        <v>0.575</v>
      </c>
      <c r="M633" s="3" t="n"/>
      <c r="N633" s="2" t="n">
        <v>0</v>
      </c>
      <c r="O633" s="2" t="inlineStr">
        <is>
          <t>imp_cout2_B0, imp_cout2_B1</t>
        </is>
      </c>
      <c r="P633" s="3" t="n">
        <v>38.578</v>
      </c>
      <c r="Q633" s="2" t="inlineStr">
        <is>
          <t>lasers</t>
        </is>
      </c>
    </row>
    <row r="634">
      <c r="A634" s="2" t="inlineStr">
        <is>
          <t>2026-10-15 14:32</t>
        </is>
      </c>
      <c r="B634" s="2" t="inlineStr">
        <is>
          <t>eb108ec +modifs</t>
        </is>
      </c>
      <c r="C634" s="2" t="inlineStr">
        <is>
          <t>22. Lasers : impacts sur les surfaces</t>
        </is>
      </c>
      <c r="D634" s="2" t="inlineStr">
        <is>
          <t>adaptive=0, laserimpacts=1, immobile, banc rapide, 19 cas</t>
        </is>
      </c>
      <c r="E634" s="2" t="n">
        <v>2</v>
      </c>
      <c r="F634" s="2" t="inlineStr">
        <is>
          <t>L1 en mode ligne (nappes continues) / public</t>
        </is>
      </c>
      <c r="G634" s="3" t="n">
        <v>14.555</v>
      </c>
      <c r="H634" s="4">
        <f>IF(G634&gt;0,1000/G634,"")</f>
        <v/>
      </c>
      <c r="I634" s="3" t="n">
        <v>13.715</v>
      </c>
      <c r="J634" s="3" t="n">
        <v>14.005</v>
      </c>
      <c r="K634" s="3" t="n">
        <v>0.9370000000000001</v>
      </c>
      <c r="L634" s="3" t="n">
        <v>0.657</v>
      </c>
      <c r="M634" s="3" t="n"/>
      <c r="N634" s="2" t="n">
        <v>0</v>
      </c>
      <c r="O634" s="2" t="inlineStr">
        <is>
          <t>imp_cout2_B0, imp_cout2_B1</t>
        </is>
      </c>
      <c r="P634" s="3" t="n">
        <v>9.913</v>
      </c>
      <c r="Q634" s="2" t="inlineStr">
        <is>
          <t>lasers</t>
        </is>
      </c>
    </row>
    <row r="635">
      <c r="A635" s="2" t="inlineStr">
        <is>
          <t>2026-10-15 14:36</t>
        </is>
      </c>
      <c r="B635" s="2" t="inlineStr">
        <is>
          <t>eb108ec +modifs</t>
        </is>
      </c>
      <c r="C635" s="2" t="inlineStr">
        <is>
          <t>22b. Lasers : etape 5 (collisions + impacts), en mouvement</t>
        </is>
      </c>
      <c r="D635" s="2" t="inlineStr">
        <is>
          <t>adaptive=0, en mouvement, banc rapide, 19 cas</t>
        </is>
      </c>
      <c r="E635" s="2" t="n">
        <v>2</v>
      </c>
      <c r="F635" s="2" t="inlineStr">
        <is>
          <t>L1 eventails 200 x 1000 traits / public</t>
        </is>
      </c>
      <c r="G635" s="3" t="n">
        <v>17.19</v>
      </c>
      <c r="H635" s="4">
        <f>IF(G635&gt;0,1000/G635,"")</f>
        <v/>
      </c>
      <c r="I635" s="3" t="n">
        <v>16.51</v>
      </c>
      <c r="J635" s="3" t="n">
        <v>16.375</v>
      </c>
      <c r="K635" s="3" t="n">
        <v>0.768</v>
      </c>
      <c r="L635" s="3" t="n">
        <v>0.633</v>
      </c>
      <c r="M635" s="3" t="n"/>
      <c r="N635" s="2" t="n">
        <v>0</v>
      </c>
      <c r="O635" s="2" t="inlineStr">
        <is>
          <t>e5_complet_B0, e5_complet_B1</t>
        </is>
      </c>
      <c r="P635" s="3" t="n">
        <v>12.876</v>
      </c>
      <c r="Q635" s="2" t="inlineStr">
        <is>
          <t>lasers</t>
        </is>
      </c>
    </row>
    <row r="636">
      <c r="A636" s="2" t="inlineStr">
        <is>
          <t>2026-10-15 14:36</t>
        </is>
      </c>
      <c r="B636" s="2" t="inlineStr">
        <is>
          <t>eb108ec +modifs</t>
        </is>
      </c>
      <c r="C636" s="2" t="inlineStr">
        <is>
          <t>22b. Lasers : etape 5 (collisions + impacts), en mouvement</t>
        </is>
      </c>
      <c r="D636" s="2" t="inlineStr">
        <is>
          <t>adaptive=0, en mouvement, banc rapide, 19 cas</t>
        </is>
      </c>
      <c r="E636" s="2" t="n">
        <v>2</v>
      </c>
      <c r="F636" s="2" t="inlineStr">
        <is>
          <t>L1 eventails 200 x 1000 traits / scene</t>
        </is>
      </c>
      <c r="G636" s="3" t="n">
        <v>13.1</v>
      </c>
      <c r="H636" s="4">
        <f>IF(G636&gt;0,1000/G636,"")</f>
        <v/>
      </c>
      <c r="I636" s="3" t="n">
        <v>12.545</v>
      </c>
      <c r="J636" s="3" t="n">
        <v>12.175</v>
      </c>
      <c r="K636" s="3" t="n">
        <v>0.859</v>
      </c>
      <c r="L636" s="3" t="n">
        <v>0.615</v>
      </c>
      <c r="M636" s="3" t="n"/>
      <c r="N636" s="2" t="n">
        <v>0</v>
      </c>
      <c r="O636" s="2" t="inlineStr">
        <is>
          <t>e5_complet_B0, e5_complet_B1</t>
        </is>
      </c>
      <c r="P636" s="3" t="n">
        <v>8.948</v>
      </c>
      <c r="Q636" s="2" t="inlineStr">
        <is>
          <t>lasers</t>
        </is>
      </c>
    </row>
    <row r="637">
      <c r="A637" s="2" t="inlineStr">
        <is>
          <t>2026-10-15 14:36</t>
        </is>
      </c>
      <c r="B637" s="2" t="inlineStr">
        <is>
          <t>eb108ec +modifs</t>
        </is>
      </c>
      <c r="C637" s="2" t="inlineStr">
        <is>
          <t>22b. Lasers : etape 5 (collisions + impacts), en mouvement</t>
        </is>
      </c>
      <c r="D637" s="2" t="inlineStr">
        <is>
          <t>adaptive=0, en mouvement, banc rapide, 19 cas</t>
        </is>
      </c>
      <c r="E637" s="2" t="n">
        <v>2</v>
      </c>
      <c r="F637" s="2" t="inlineStr">
        <is>
          <t>L1 eventails 200 x 1000 traits / sous les trusses</t>
        </is>
      </c>
      <c r="G637" s="3" t="n">
        <v>13.57</v>
      </c>
      <c r="H637" s="4">
        <f>IF(G637&gt;0,1000/G637,"")</f>
        <v/>
      </c>
      <c r="I637" s="3" t="n">
        <v>12.725</v>
      </c>
      <c r="J637" s="3" t="n">
        <v>12.69</v>
      </c>
      <c r="K637" s="3" t="n">
        <v>0.696</v>
      </c>
      <c r="L637" s="3" t="n">
        <v>0.63</v>
      </c>
      <c r="M637" s="3" t="n"/>
      <c r="N637" s="2" t="n">
        <v>0</v>
      </c>
      <c r="O637" s="2" t="inlineStr">
        <is>
          <t>e5_complet_B0, e5_complet_B1</t>
        </is>
      </c>
      <c r="P637" s="3" t="n">
        <v>9.550000000000001</v>
      </c>
      <c r="Q637" s="2" t="inlineStr">
        <is>
          <t>lasers</t>
        </is>
      </c>
    </row>
    <row r="638">
      <c r="A638" s="2" t="inlineStr">
        <is>
          <t>2026-10-15 14:36</t>
        </is>
      </c>
      <c r="B638" s="2" t="inlineStr">
        <is>
          <t>eb108ec +modifs</t>
        </is>
      </c>
      <c r="C638" s="2" t="inlineStr">
        <is>
          <t>22b. Lasers : etape 5 (collisions + impacts), en mouvement</t>
        </is>
      </c>
      <c r="D638" s="2" t="inlineStr">
        <is>
          <t>adaptive=0, en mouvement, banc rapide, 19 cas</t>
        </is>
      </c>
      <c r="E638" s="2" t="n">
        <v>2</v>
      </c>
      <c r="F638" s="2" t="inlineStr">
        <is>
          <t>L2 cones 200 x 32 segments / public</t>
        </is>
      </c>
      <c r="G638" s="3" t="n">
        <v>19.715</v>
      </c>
      <c r="H638" s="4">
        <f>IF(G638&gt;0,1000/G638,"")</f>
        <v/>
      </c>
      <c r="I638" s="3" t="n">
        <v>18.94</v>
      </c>
      <c r="J638" s="3" t="n">
        <v>18.64</v>
      </c>
      <c r="K638" s="3" t="n">
        <v>0.821</v>
      </c>
      <c r="L638" s="3" t="n">
        <v>0.629</v>
      </c>
      <c r="M638" s="3" t="n"/>
      <c r="N638" s="2" t="n">
        <v>0</v>
      </c>
      <c r="O638" s="2" t="inlineStr">
        <is>
          <t>e5_complet_B0, e5_complet_B1</t>
        </is>
      </c>
      <c r="P638" s="3" t="n">
        <v>15.533</v>
      </c>
      <c r="Q638" s="2" t="inlineStr">
        <is>
          <t>lasers</t>
        </is>
      </c>
    </row>
    <row r="639">
      <c r="A639" s="2" t="inlineStr">
        <is>
          <t>2026-10-15 14:36</t>
        </is>
      </c>
      <c r="B639" s="2" t="inlineStr">
        <is>
          <t>eb108ec +modifs</t>
        </is>
      </c>
      <c r="C639" s="2" t="inlineStr">
        <is>
          <t>22b. Lasers : etape 5 (collisions + impacts), en mouvement</t>
        </is>
      </c>
      <c r="D639" s="2" t="inlineStr">
        <is>
          <t>adaptive=0, en mouvement, banc rapide, 19 cas</t>
        </is>
      </c>
      <c r="E639" s="2" t="n">
        <v>2</v>
      </c>
      <c r="F639" s="2" t="inlineStr">
        <is>
          <t>L2 cones 200 x 32 segments / scene</t>
        </is>
      </c>
      <c r="G639" s="3" t="n">
        <v>20.675</v>
      </c>
      <c r="H639" s="4">
        <f>IF(G639&gt;0,1000/G639,"")</f>
        <v/>
      </c>
      <c r="I639" s="3" t="n">
        <v>20.29</v>
      </c>
      <c r="J639" s="3" t="n">
        <v>19.765</v>
      </c>
      <c r="K639" s="3" t="n">
        <v>0.841</v>
      </c>
      <c r="L639" s="3" t="n">
        <v>0.6870000000000001</v>
      </c>
      <c r="M639" s="3" t="n"/>
      <c r="N639" s="2" t="n">
        <v>0</v>
      </c>
      <c r="O639" s="2" t="inlineStr">
        <is>
          <t>e5_complet_B0, e5_complet_B1</t>
        </is>
      </c>
      <c r="P639" s="3" t="n">
        <v>16.409</v>
      </c>
      <c r="Q639" s="2" t="inlineStr">
        <is>
          <t>lasers</t>
        </is>
      </c>
    </row>
    <row r="640">
      <c r="A640" s="2" t="inlineStr">
        <is>
          <t>2026-10-15 14:36</t>
        </is>
      </c>
      <c r="B640" s="2" t="inlineStr">
        <is>
          <t>eb108ec +modifs</t>
        </is>
      </c>
      <c r="C640" s="2" t="inlineStr">
        <is>
          <t>22b. Lasers : etape 5 (collisions + impacts), en mouvement</t>
        </is>
      </c>
      <c r="D640" s="2" t="inlineStr">
        <is>
          <t>adaptive=0, en mouvement, banc rapide, 19 cas</t>
        </is>
      </c>
      <c r="E640" s="2" t="n">
        <v>2</v>
      </c>
      <c r="F640" s="2" t="inlineStr">
        <is>
          <t>L3 camera dans les nappes</t>
        </is>
      </c>
      <c r="G640" s="3" t="n">
        <v>13.415</v>
      </c>
      <c r="H640" s="4">
        <f>IF(G640&gt;0,1000/G640,"")</f>
        <v/>
      </c>
      <c r="I640" s="3" t="n">
        <v>12.53</v>
      </c>
      <c r="J640" s="3" t="n">
        <v>12.395</v>
      </c>
      <c r="K640" s="3" t="n">
        <v>0.824</v>
      </c>
      <c r="L640" s="3" t="n">
        <v>0.606</v>
      </c>
      <c r="M640" s="3" t="n"/>
      <c r="N640" s="2" t="n">
        <v>0</v>
      </c>
      <c r="O640" s="2" t="inlineStr">
        <is>
          <t>e5_complet_B0, e5_complet_B1</t>
        </is>
      </c>
      <c r="P640" s="3" t="n">
        <v>9.010999999999999</v>
      </c>
      <c r="Q640" s="2" t="inlineStr">
        <is>
          <t>lasers</t>
        </is>
      </c>
    </row>
    <row r="641">
      <c r="A641" s="2" t="inlineStr">
        <is>
          <t>2026-10-15 14:36</t>
        </is>
      </c>
      <c r="B641" s="2" t="inlineStr">
        <is>
          <t>eb108ec +modifs</t>
        </is>
      </c>
      <c r="C641" s="2" t="inlineStr">
        <is>
          <t>22b. Lasers : etape 5 (collisions + impacts), en mouvement</t>
        </is>
      </c>
      <c r="D641" s="2" t="inlineStr">
        <is>
          <t>adaptive=0, en mouvement, banc rapide, 19 cas</t>
        </is>
      </c>
      <c r="E641" s="2" t="n">
        <v>2</v>
      </c>
      <c r="F641" s="2" t="inlineStr">
        <is>
          <t>L4 200 x 8 traits separes / public</t>
        </is>
      </c>
      <c r="G641" s="3" t="n">
        <v>7.21</v>
      </c>
      <c r="H641" s="4">
        <f>IF(G641&gt;0,1000/G641,"")</f>
        <v/>
      </c>
      <c r="I641" s="3" t="n">
        <v>5.84</v>
      </c>
      <c r="J641" s="3" t="n">
        <v>6.075</v>
      </c>
      <c r="K641" s="3" t="n">
        <v>0.966</v>
      </c>
      <c r="L641" s="3" t="n">
        <v>0.669</v>
      </c>
      <c r="M641" s="3" t="n"/>
      <c r="N641" s="2" t="n">
        <v>0</v>
      </c>
      <c r="O641" s="2" t="inlineStr">
        <is>
          <t>e5_complet_B0, e5_complet_B1</t>
        </is>
      </c>
      <c r="P641" s="3" t="n">
        <v>1.854</v>
      </c>
      <c r="Q641" s="2" t="inlineStr">
        <is>
          <t>lasers</t>
        </is>
      </c>
    </row>
    <row r="642">
      <c r="A642" s="2" t="inlineStr">
        <is>
          <t>2026-10-15 14:36</t>
        </is>
      </c>
      <c r="B642" s="2" t="inlineStr">
        <is>
          <t>eb108ec +modifs</t>
        </is>
      </c>
      <c r="C642" s="2" t="inlineStr">
        <is>
          <t>22b. Lasers : etape 5 (collisions + impacts), en mouvement</t>
        </is>
      </c>
      <c r="D642" s="2" t="inlineStr">
        <is>
          <t>adaptive=0, en mouvement, banc rapide, 19 cas</t>
        </is>
      </c>
      <c r="E642" s="2" t="n">
        <v>2</v>
      </c>
      <c r="F642" s="2" t="inlineStr">
        <is>
          <t>L5 nappes en gros plan, fumee epaisse</t>
        </is>
      </c>
      <c r="G642" s="3" t="n">
        <v>15.095</v>
      </c>
      <c r="H642" s="4">
        <f>IF(G642&gt;0,1000/G642,"")</f>
        <v/>
      </c>
      <c r="I642" s="3" t="n">
        <v>14.495</v>
      </c>
      <c r="J642" s="3" t="n">
        <v>13.77</v>
      </c>
      <c r="K642" s="3" t="n">
        <v>0.8</v>
      </c>
      <c r="L642" s="3" t="n">
        <v>0.518</v>
      </c>
      <c r="M642" s="3" t="n"/>
      <c r="N642" s="2" t="n">
        <v>0</v>
      </c>
      <c r="O642" s="2" t="inlineStr">
        <is>
          <t>e5_complet_B0, e5_complet_B1</t>
        </is>
      </c>
      <c r="P642" s="3" t="n">
        <v>10.18</v>
      </c>
      <c r="Q642" s="2" t="inlineStr">
        <is>
          <t>lasers</t>
        </is>
      </c>
    </row>
    <row r="643">
      <c r="A643" s="2" t="inlineStr">
        <is>
          <t>2026-10-15 14:36</t>
        </is>
      </c>
      <c r="B643" s="2" t="inlineStr">
        <is>
          <t>eb108ec +modifs</t>
        </is>
      </c>
      <c r="C643" s="2" t="inlineStr">
        <is>
          <t>22b. Lasers : etape 5 (collisions + impacts), en mouvement</t>
        </is>
      </c>
      <c r="D643" s="2" t="inlineStr">
        <is>
          <t>adaptive=0, en mouvement, banc rapide, 19 cas</t>
        </is>
      </c>
      <c r="E643" s="2" t="n">
        <v>2</v>
      </c>
      <c r="F643" s="2" t="inlineStr">
        <is>
          <t>L6 traits vers le sol et les obstacles / public</t>
        </is>
      </c>
      <c r="G643" s="3" t="n">
        <v>17.02</v>
      </c>
      <c r="H643" s="4">
        <f>IF(G643&gt;0,1000/G643,"")</f>
        <v/>
      </c>
      <c r="I643" s="3" t="n">
        <v>16.23</v>
      </c>
      <c r="J643" s="3" t="n">
        <v>16.11</v>
      </c>
      <c r="K643" s="3" t="n">
        <v>0.787</v>
      </c>
      <c r="L643" s="3" t="n">
        <v>0.518</v>
      </c>
      <c r="M643" s="3" t="n"/>
      <c r="N643" s="2" t="n">
        <v>0</v>
      </c>
      <c r="O643" s="2" t="inlineStr">
        <is>
          <t>e5_complet_B0, e5_complet_B1</t>
        </is>
      </c>
      <c r="P643" s="3" t="n">
        <v>13.095</v>
      </c>
      <c r="Q643" s="2" t="inlineStr">
        <is>
          <t>lasers</t>
        </is>
      </c>
    </row>
    <row r="644">
      <c r="A644" s="2" t="inlineStr">
        <is>
          <t>2026-10-15 14:36</t>
        </is>
      </c>
      <c r="B644" s="2" t="inlineStr">
        <is>
          <t>eb108ec +modifs</t>
        </is>
      </c>
      <c r="C644" s="2" t="inlineStr">
        <is>
          <t>22b. Lasers : etape 5 (collisions + impacts), en mouvement</t>
        </is>
      </c>
      <c r="D644" s="2" t="inlineStr">
        <is>
          <t>adaptive=0, en mouvement, banc rapide, 19 cas</t>
        </is>
      </c>
      <c r="E644" s="2" t="n">
        <v>2</v>
      </c>
      <c r="F644" s="2" t="inlineStr">
        <is>
          <t>M1 100 lyres + 100 lasers / public</t>
        </is>
      </c>
      <c r="G644" s="3" t="n">
        <v>13.185</v>
      </c>
      <c r="H644" s="4">
        <f>IF(G644&gt;0,1000/G644,"")</f>
        <v/>
      </c>
      <c r="I644" s="3" t="n">
        <v>12.67</v>
      </c>
      <c r="J644" s="3" t="n">
        <v>12.405</v>
      </c>
      <c r="K644" s="3" t="n">
        <v>1.462</v>
      </c>
      <c r="L644" s="3" t="n">
        <v>1.352</v>
      </c>
      <c r="M644" s="3" t="n"/>
      <c r="N644" s="2" t="n">
        <v>48</v>
      </c>
      <c r="O644" s="2" t="inlineStr">
        <is>
          <t>e5_complet_B0, e5_complet_B1</t>
        </is>
      </c>
      <c r="P644" s="3" t="n">
        <v>6.723</v>
      </c>
      <c r="Q644" s="2" t="inlineStr">
        <is>
          <t>lasers</t>
        </is>
      </c>
    </row>
    <row r="645">
      <c r="A645" s="2" t="inlineStr">
        <is>
          <t>2026-10-15 14:36</t>
        </is>
      </c>
      <c r="B645" s="2" t="inlineStr">
        <is>
          <t>eb108ec +modifs</t>
        </is>
      </c>
      <c r="C645" s="2" t="inlineStr">
        <is>
          <t>22b. Lasers : etape 5 (collisions + impacts), en mouvement</t>
        </is>
      </c>
      <c r="D645" s="2" t="inlineStr">
        <is>
          <t>adaptive=0, en mouvement, banc rapide, 19 cas</t>
        </is>
      </c>
      <c r="E645" s="2" t="n">
        <v>2</v>
      </c>
      <c r="F645" s="2" t="inlineStr">
        <is>
          <t>M1 100 lyres + 100 lasers / scene</t>
        </is>
      </c>
      <c r="G645" s="3" t="n">
        <v>11.15</v>
      </c>
      <c r="H645" s="4">
        <f>IF(G645&gt;0,1000/G645,"")</f>
        <v/>
      </c>
      <c r="I645" s="3" t="n">
        <v>10.455</v>
      </c>
      <c r="J645" s="3" t="n">
        <v>10.285</v>
      </c>
      <c r="K645" s="3" t="n">
        <v>1.352</v>
      </c>
      <c r="L645" s="3" t="n">
        <v>1.333</v>
      </c>
      <c r="M645" s="3" t="n"/>
      <c r="N645" s="2" t="n">
        <v>48</v>
      </c>
      <c r="O645" s="2" t="inlineStr">
        <is>
          <t>e5_complet_B0, e5_complet_B1</t>
        </is>
      </c>
      <c r="P645" s="3" t="n">
        <v>4.812</v>
      </c>
      <c r="Q645" s="2" t="inlineStr">
        <is>
          <t>lasers</t>
        </is>
      </c>
    </row>
    <row r="646">
      <c r="A646" s="2" t="inlineStr">
        <is>
          <t>2026-10-15 14:36</t>
        </is>
      </c>
      <c r="B646" s="2" t="inlineStr">
        <is>
          <t>eb108ec +modifs</t>
        </is>
      </c>
      <c r="C646" s="2" t="inlineStr">
        <is>
          <t>22b. Lasers : etape 5 (collisions + impacts), en mouvement</t>
        </is>
      </c>
      <c r="D646" s="2" t="inlineStr">
        <is>
          <t>adaptive=0, en mouvement, banc rapide, 19 cas</t>
        </is>
      </c>
      <c r="E646" s="2" t="n">
        <v>2</v>
      </c>
      <c r="F646" s="2" t="inlineStr">
        <is>
          <t>M1 100 lyres + 100 lasers / sous les trusses</t>
        </is>
      </c>
      <c r="G646" s="3" t="n">
        <v>11.04</v>
      </c>
      <c r="H646" s="4">
        <f>IF(G646&gt;0,1000/G646,"")</f>
        <v/>
      </c>
      <c r="I646" s="3" t="n">
        <v>10.415</v>
      </c>
      <c r="J646" s="3" t="n">
        <v>10.265</v>
      </c>
      <c r="K646" s="3" t="n">
        <v>0.99</v>
      </c>
      <c r="L646" s="3" t="n">
        <v>1.252</v>
      </c>
      <c r="M646" s="3" t="n"/>
      <c r="N646" s="2" t="n">
        <v>48</v>
      </c>
      <c r="O646" s="2" t="inlineStr">
        <is>
          <t>e5_complet_B0, e5_complet_B1</t>
        </is>
      </c>
      <c r="P646" s="3" t="n">
        <v>5.045</v>
      </c>
      <c r="Q646" s="2" t="inlineStr">
        <is>
          <t>lasers</t>
        </is>
      </c>
    </row>
    <row r="647">
      <c r="A647" s="2" t="inlineStr">
        <is>
          <t>2026-10-15 14:36</t>
        </is>
      </c>
      <c r="B647" s="2" t="inlineStr">
        <is>
          <t>eb108ec +modifs</t>
        </is>
      </c>
      <c r="C647" s="2" t="inlineStr">
        <is>
          <t>22b. Lasers : etape 5 (collisions + impacts), en mouvement</t>
        </is>
      </c>
      <c r="D647" s="2" t="inlineStr">
        <is>
          <t>adaptive=0, en mouvement, banc rapide, 19 cas</t>
        </is>
      </c>
      <c r="E647" s="2" t="n">
        <v>2</v>
      </c>
      <c r="F647" s="2" t="inlineStr">
        <is>
          <t>sans lasers (scene seule) / public</t>
        </is>
      </c>
      <c r="G647" s="3" t="n">
        <v>4.275</v>
      </c>
      <c r="H647" s="4">
        <f>IF(G647&gt;0,1000/G647,"")</f>
        <v/>
      </c>
      <c r="I647" s="3" t="n">
        <v>2.795</v>
      </c>
      <c r="J647" s="3" t="n">
        <v>2.61</v>
      </c>
      <c r="K647" s="3" t="n">
        <v>0.784</v>
      </c>
      <c r="L647" s="3" t="n">
        <v>0.667</v>
      </c>
      <c r="M647" s="3" t="n"/>
      <c r="N647" s="2" t="n">
        <v>0</v>
      </c>
      <c r="O647" s="2" t="inlineStr">
        <is>
          <t>e5_complet_B0, e5_complet_B1</t>
        </is>
      </c>
      <c r="P647" s="3" t="n"/>
      <c r="Q647" s="2" t="inlineStr">
        <is>
          <t>lasers</t>
        </is>
      </c>
    </row>
    <row r="648">
      <c r="A648" s="2" t="inlineStr">
        <is>
          <t>2026-10-15 14:36</t>
        </is>
      </c>
      <c r="B648" s="2" t="inlineStr">
        <is>
          <t>eb108ec +modifs</t>
        </is>
      </c>
      <c r="C648" s="2" t="inlineStr">
        <is>
          <t>22b. Lasers : etape 5 (collisions + impacts), en mouvement</t>
        </is>
      </c>
      <c r="D648" s="2" t="inlineStr">
        <is>
          <t>adaptive=0, en mouvement, banc rapide, 19 cas</t>
        </is>
      </c>
      <c r="E648" s="2" t="n">
        <v>2</v>
      </c>
      <c r="F648" s="2" t="inlineStr">
        <is>
          <t>L7 programmeur : formes, degrades, effets / public</t>
        </is>
      </c>
      <c r="G648" s="3" t="n">
        <v>31.455</v>
      </c>
      <c r="H648" s="4">
        <f>IF(G648&gt;0,1000/G648,"")</f>
        <v/>
      </c>
      <c r="I648" s="3" t="n">
        <v>30.76</v>
      </c>
      <c r="J648" s="3" t="n">
        <v>30.515</v>
      </c>
      <c r="K648" s="3" t="n">
        <v>0.917</v>
      </c>
      <c r="L648" s="3" t="n">
        <v>0.522</v>
      </c>
      <c r="M648" s="3" t="n"/>
      <c r="N648" s="2" t="n">
        <v>0</v>
      </c>
      <c r="O648" s="2" t="inlineStr">
        <is>
          <t>e5_complet_B0, e5_complet_B1</t>
        </is>
      </c>
      <c r="P648" s="3" t="n">
        <v>26.383</v>
      </c>
      <c r="Q648" s="2" t="inlineStr">
        <is>
          <t>lasers</t>
        </is>
      </c>
    </row>
    <row r="649">
      <c r="A649" s="2" t="inlineStr">
        <is>
          <t>2026-10-15 14:36</t>
        </is>
      </c>
      <c r="B649" s="2" t="inlineStr">
        <is>
          <t>eb108ec +modifs</t>
        </is>
      </c>
      <c r="C649" s="2" t="inlineStr">
        <is>
          <t>22b. Lasers : etape 5 (collisions + impacts), en mouvement</t>
        </is>
      </c>
      <c r="D649" s="2" t="inlineStr">
        <is>
          <t>adaptive=0, en mouvement, banc rapide, 19 cas</t>
        </is>
      </c>
      <c r="E649" s="2" t="n">
        <v>2</v>
      </c>
      <c r="F649" s="2" t="inlineStr">
        <is>
          <t>I1 ILDA nappes (banque Nappes) / public</t>
        </is>
      </c>
      <c r="G649" s="3" t="n">
        <v>45.75</v>
      </c>
      <c r="H649" s="4">
        <f>IF(G649&gt;0,1000/G649,"")</f>
        <v/>
      </c>
      <c r="I649" s="3" t="n">
        <v>45.105</v>
      </c>
      <c r="J649" s="3" t="n">
        <v>44.695</v>
      </c>
      <c r="K649" s="3" t="n">
        <v>0.972</v>
      </c>
      <c r="L649" s="3" t="n">
        <v>0.594</v>
      </c>
      <c r="M649" s="3" t="n"/>
      <c r="N649" s="2" t="n">
        <v>0</v>
      </c>
      <c r="O649" s="2" t="inlineStr">
        <is>
          <t>e5_complet_B0, e5_complet_B1</t>
        </is>
      </c>
      <c r="P649" s="3" t="n">
        <v>40.562</v>
      </c>
      <c r="Q649" s="2" t="inlineStr">
        <is>
          <t>lasers</t>
        </is>
      </c>
    </row>
    <row r="650">
      <c r="A650" s="2" t="inlineStr">
        <is>
          <t>2026-10-15 14:36</t>
        </is>
      </c>
      <c r="B650" s="2" t="inlineStr">
        <is>
          <t>eb108ec +modifs</t>
        </is>
      </c>
      <c r="C650" s="2" t="inlineStr">
        <is>
          <t>22b. Lasers : etape 5 (collisions + impacts), en mouvement</t>
        </is>
      </c>
      <c r="D650" s="2" t="inlineStr">
        <is>
          <t>adaptive=0, en mouvement, banc rapide, 19 cas</t>
        </is>
      </c>
      <c r="E650" s="2" t="n">
        <v>2</v>
      </c>
      <c r="F650" s="2" t="inlineStr">
        <is>
          <t>I2 ILDA faisceaux (banque Faisceaux) / public</t>
        </is>
      </c>
      <c r="G650" s="3" t="n">
        <v>8.045</v>
      </c>
      <c r="H650" s="4">
        <f>IF(G650&gt;0,1000/G650,"")</f>
        <v/>
      </c>
      <c r="I650" s="3" t="n">
        <v>6.835</v>
      </c>
      <c r="J650" s="3" t="n">
        <v>6.925</v>
      </c>
      <c r="K650" s="3" t="n">
        <v>0.967</v>
      </c>
      <c r="L650" s="3" t="n">
        <v>0.663</v>
      </c>
      <c r="M650" s="3" t="n"/>
      <c r="N650" s="2" t="n">
        <v>0</v>
      </c>
      <c r="O650" s="2" t="inlineStr">
        <is>
          <t>e5_complet_B0, e5_complet_B1</t>
        </is>
      </c>
      <c r="P650" s="3" t="n">
        <v>2.784</v>
      </c>
      <c r="Q650" s="2" t="inlineStr">
        <is>
          <t>lasers</t>
        </is>
      </c>
    </row>
    <row r="651">
      <c r="A651" s="2" t="inlineStr">
        <is>
          <t>2026-10-15 14:36</t>
        </is>
      </c>
      <c r="B651" s="2" t="inlineStr">
        <is>
          <t>eb108ec +modifs</t>
        </is>
      </c>
      <c r="C651" s="2" t="inlineStr">
        <is>
          <t>22b. Lasers : etape 5 (collisions + impacts), en mouvement</t>
        </is>
      </c>
      <c r="D651" s="2" t="inlineStr">
        <is>
          <t>adaptive=0, en mouvement, banc rapide, 19 cas</t>
        </is>
      </c>
      <c r="E651" s="2" t="n">
        <v>2</v>
      </c>
      <c r="F651" s="2" t="inlineStr">
        <is>
          <t>I3 ILDA geometrie (banque Geometrie) / public</t>
        </is>
      </c>
      <c r="G651" s="3" t="n">
        <v>61.845</v>
      </c>
      <c r="H651" s="4">
        <f>IF(G651&gt;0,1000/G651,"")</f>
        <v/>
      </c>
      <c r="I651" s="3" t="n">
        <v>61.2</v>
      </c>
      <c r="J651" s="3" t="n">
        <v>61.61</v>
      </c>
      <c r="K651" s="3" t="n">
        <v>0.986</v>
      </c>
      <c r="L651" s="3" t="n">
        <v>0.591</v>
      </c>
      <c r="M651" s="3" t="n"/>
      <c r="N651" s="2" t="n">
        <v>0</v>
      </c>
      <c r="O651" s="2" t="inlineStr">
        <is>
          <t>e5_complet_B0, e5_complet_B1</t>
        </is>
      </c>
      <c r="P651" s="3" t="n">
        <v>57.426</v>
      </c>
      <c r="Q651" s="2" t="inlineStr">
        <is>
          <t>lasers</t>
        </is>
      </c>
    </row>
    <row r="652">
      <c r="A652" s="2" t="inlineStr">
        <is>
          <t>2026-10-15 14:36</t>
        </is>
      </c>
      <c r="B652" s="2" t="inlineStr">
        <is>
          <t>eb108ec +modifs</t>
        </is>
      </c>
      <c r="C652" s="2" t="inlineStr">
        <is>
          <t>22b. Lasers : etape 5 (collisions + impacts), en mouvement</t>
        </is>
      </c>
      <c r="D652" s="2" t="inlineStr">
        <is>
          <t>adaptive=0, en mouvement, banc rapide, 19 cas</t>
        </is>
      </c>
      <c r="E652" s="2" t="n">
        <v>2</v>
      </c>
      <c r="F652" s="2" t="inlineStr">
        <is>
          <t>I4 ILDA tunnels (banque Tunnels) / public</t>
        </is>
      </c>
      <c r="G652" s="3" t="n">
        <v>46.7</v>
      </c>
      <c r="H652" s="4">
        <f>IF(G652&gt;0,1000/G652,"")</f>
        <v/>
      </c>
      <c r="I652" s="3" t="n">
        <v>45.915</v>
      </c>
      <c r="J652" s="3" t="n">
        <v>45.8</v>
      </c>
      <c r="K652" s="3" t="n">
        <v>0.977</v>
      </c>
      <c r="L652" s="3" t="n">
        <v>0.581</v>
      </c>
      <c r="M652" s="3" t="n"/>
      <c r="N652" s="2" t="n">
        <v>0</v>
      </c>
      <c r="O652" s="2" t="inlineStr">
        <is>
          <t>e5_complet_B0, e5_complet_B1</t>
        </is>
      </c>
      <c r="P652" s="3" t="n">
        <v>41.915</v>
      </c>
      <c r="Q652" s="2" t="inlineStr">
        <is>
          <t>lasers</t>
        </is>
      </c>
    </row>
    <row r="653">
      <c r="A653" s="2" t="inlineStr">
        <is>
          <t>2026-10-15 14:36</t>
        </is>
      </c>
      <c r="B653" s="2" t="inlineStr">
        <is>
          <t>eb108ec +modifs</t>
        </is>
      </c>
      <c r="C653" s="2" t="inlineStr">
        <is>
          <t>22b. Lasers : etape 5 (collisions + impacts), en mouvement</t>
        </is>
      </c>
      <c r="D653" s="2" t="inlineStr">
        <is>
          <t>adaptive=0, en mouvement, banc rapide, 19 cas</t>
        </is>
      </c>
      <c r="E653" s="2" t="n">
        <v>2</v>
      </c>
      <c r="F653" s="2" t="inlineStr">
        <is>
          <t>L1 en mode ligne (nappes continues) / public</t>
        </is>
      </c>
      <c r="G653" s="3" t="n">
        <v>15.76</v>
      </c>
      <c r="H653" s="4">
        <f>IF(G653&gt;0,1000/G653,"")</f>
        <v/>
      </c>
      <c r="I653" s="3" t="n">
        <v>15.125</v>
      </c>
      <c r="J653" s="3" t="n">
        <v>15.19</v>
      </c>
      <c r="K653" s="3" t="n">
        <v>0.93</v>
      </c>
      <c r="L653" s="3" t="n">
        <v>0.615</v>
      </c>
      <c r="M653" s="3" t="n"/>
      <c r="N653" s="2" t="n">
        <v>0</v>
      </c>
      <c r="O653" s="2" t="inlineStr">
        <is>
          <t>e5_complet_B0, e5_complet_B1</t>
        </is>
      </c>
      <c r="P653" s="3" t="n">
        <v>11.181</v>
      </c>
      <c r="Q653" s="2" t="inlineStr">
        <is>
          <t>lasers</t>
        </is>
      </c>
    </row>
    <row r="654">
      <c r="A654" s="2" t="inlineStr">
        <is>
          <t>2026-10-15 14:36</t>
        </is>
      </c>
      <c r="B654" s="2" t="inlineStr">
        <is>
          <t>eb108ec +modifs</t>
        </is>
      </c>
      <c r="C654" s="2" t="inlineStr">
        <is>
          <t>22b. Lyres : etape 5 (inchange)</t>
        </is>
      </c>
      <c r="D654" s="2" t="inlineStr">
        <is>
          <t>adaptive=0, immobile, banc rapide, 3 cas</t>
        </is>
      </c>
      <c r="E654" s="2" t="n">
        <v>2</v>
      </c>
      <c r="F654" s="2" t="inlineStr">
        <is>
          <t>defaut / public</t>
        </is>
      </c>
      <c r="G654" s="3" t="n">
        <v>7.925</v>
      </c>
      <c r="H654" s="4">
        <f>IF(G654&gt;0,1000/G654,"")</f>
        <v/>
      </c>
      <c r="I654" s="3" t="n">
        <v>7.165</v>
      </c>
      <c r="J654" s="3" t="n">
        <v>6.1</v>
      </c>
      <c r="K654" s="3" t="n">
        <v>1.607</v>
      </c>
      <c r="L654" s="3" t="n">
        <v>2.055</v>
      </c>
      <c r="M654" s="3" t="n"/>
      <c r="N654" s="2" t="n">
        <v>98</v>
      </c>
      <c r="O654" s="2" t="inlineStr">
        <is>
          <t>e5_lyres_B0, e5_lyres_B1</t>
        </is>
      </c>
      <c r="P654" s="3" t="n"/>
      <c r="Q654" s="2" t="inlineStr">
        <is>
          <t>lyres</t>
        </is>
      </c>
    </row>
    <row r="655">
      <c r="A655" s="2" t="inlineStr">
        <is>
          <t>2026-10-15 14:36</t>
        </is>
      </c>
      <c r="B655" s="2" t="inlineStr">
        <is>
          <t>eb108ec +modifs</t>
        </is>
      </c>
      <c r="C655" s="2" t="inlineStr">
        <is>
          <t>22b. Lyres : etape 5 (inchange)</t>
        </is>
      </c>
      <c r="D655" s="2" t="inlineStr">
        <is>
          <t>adaptive=0, immobile, banc rapide, 3 cas</t>
        </is>
      </c>
      <c r="E655" s="2" t="n">
        <v>2</v>
      </c>
      <c r="F655" s="2" t="inlineStr">
        <is>
          <t>gobo + prisme 8 + zoom 25 / public</t>
        </is>
      </c>
      <c r="G655" s="3" t="n">
        <v>17.175</v>
      </c>
      <c r="H655" s="4">
        <f>IF(G655&gt;0,1000/G655,"")</f>
        <v/>
      </c>
      <c r="I655" s="3" t="n">
        <v>16.585</v>
      </c>
      <c r="J655" s="3" t="n">
        <v>16.5</v>
      </c>
      <c r="K655" s="3" t="n">
        <v>5.938</v>
      </c>
      <c r="L655" s="3" t="n">
        <v>6.788</v>
      </c>
      <c r="M655" s="3" t="n"/>
      <c r="N655" s="2" t="n">
        <v>280</v>
      </c>
      <c r="O655" s="2" t="inlineStr">
        <is>
          <t>e5_lyres_B0, e5_lyres_B1</t>
        </is>
      </c>
      <c r="P655" s="3" t="n"/>
      <c r="Q655" s="2" t="inlineStr">
        <is>
          <t>lyres</t>
        </is>
      </c>
    </row>
    <row r="656">
      <c r="A656" s="2" t="inlineStr">
        <is>
          <t>2026-10-15 14:36</t>
        </is>
      </c>
      <c r="B656" s="2" t="inlineStr">
        <is>
          <t>eb108ec +modifs</t>
        </is>
      </c>
      <c r="C656" s="2" t="inlineStr">
        <is>
          <t>22b. Lyres : etape 5 (inchange)</t>
        </is>
      </c>
      <c r="D656" s="2" t="inlineStr">
        <is>
          <t>adaptive=0, immobile, banc rapide, 3 cas</t>
        </is>
      </c>
      <c r="E656" s="2" t="n">
        <v>2</v>
      </c>
      <c r="F656" s="2" t="inlineStr">
        <is>
          <t>zoom 45 + frost 0.6 / public</t>
        </is>
      </c>
      <c r="G656" s="3" t="n">
        <v>11.585</v>
      </c>
      <c r="H656" s="4">
        <f>IF(G656&gt;0,1000/G656,"")</f>
        <v/>
      </c>
      <c r="I656" s="3" t="n">
        <v>11.125</v>
      </c>
      <c r="J656" s="3" t="n">
        <v>9.914999999999999</v>
      </c>
      <c r="K656" s="3" t="n">
        <v>3.33</v>
      </c>
      <c r="L656" s="3" t="n">
        <v>4.13</v>
      </c>
      <c r="M656" s="3" t="n"/>
      <c r="N656" s="2" t="n">
        <v>887</v>
      </c>
      <c r="O656" s="2" t="inlineStr">
        <is>
          <t>e5_lyres_B0, e5_lyres_B1</t>
        </is>
      </c>
      <c r="P656" s="3" t="n"/>
      <c r="Q656" s="2" t="inlineStr">
        <is>
          <t>lyres</t>
        </is>
      </c>
    </row>
    <row r="657">
      <c r="A657" s="2" t="inlineStr">
        <is>
          <t>2026-10-15 16:32</t>
        </is>
      </c>
      <c r="B657" s="2" t="inlineStr">
        <is>
          <t>eb108ec+</t>
        </is>
      </c>
      <c r="C657" s="2" t="inlineStr">
        <is>
          <t>23. arcs : silhouettes adoucies, pyramide coupee a l'ecran et aux parois, passe des arcs a part</t>
        </is>
      </c>
      <c r="D657" s="2" t="inlineStr">
        <is>
          <t>adaptive=0, immobile, banc rapide (lasers complet)</t>
        </is>
      </c>
      <c r="E657" s="2" t="n">
        <v>2</v>
      </c>
      <c r="F657" s="2" t="inlineStr">
        <is>
          <t>L1 eventails 200 x 1000 traits / public</t>
        </is>
      </c>
      <c r="G657" s="3" t="n">
        <v>14.56</v>
      </c>
      <c r="H657" s="4">
        <f>IF(G657&gt;0,1000/G657,"")</f>
        <v/>
      </c>
      <c r="I657" s="3" t="n">
        <v>13.885</v>
      </c>
      <c r="J657" s="3" t="n">
        <v>12.865</v>
      </c>
      <c r="K657" s="3" t="n">
        <v>0.77</v>
      </c>
      <c r="L657" s="3" t="n">
        <v>0.665</v>
      </c>
      <c r="M657" s="3" t="n"/>
      <c r="N657" s="2" t="n">
        <v>0</v>
      </c>
      <c r="O657" s="2" t="inlineStr">
        <is>
          <t>arcs4_B0, arcs4_B1</t>
        </is>
      </c>
      <c r="P657" s="3" t="n">
        <v>9.534000000000001</v>
      </c>
      <c r="Q657" s="2" t="inlineStr">
        <is>
          <t>lasers</t>
        </is>
      </c>
    </row>
    <row r="658">
      <c r="A658" s="2" t="inlineStr">
        <is>
          <t>2026-10-15 16:32</t>
        </is>
      </c>
      <c r="B658" s="2" t="inlineStr">
        <is>
          <t>eb108ec+</t>
        </is>
      </c>
      <c r="C658" s="2" t="inlineStr">
        <is>
          <t>23. arcs : silhouettes adoucies, pyramide coupee a l'ecran et aux parois, passe des arcs a part</t>
        </is>
      </c>
      <c r="D658" s="2" t="inlineStr">
        <is>
          <t>adaptive=0, immobile, banc rapide (lasers complet)</t>
        </is>
      </c>
      <c r="E658" s="2" t="n">
        <v>2</v>
      </c>
      <c r="F658" s="2" t="inlineStr">
        <is>
          <t>L1 eventails 200 x 1000 traits / scene</t>
        </is>
      </c>
      <c r="G658" s="3" t="n">
        <v>13.54</v>
      </c>
      <c r="H658" s="4">
        <f>IF(G658&gt;0,1000/G658,"")</f>
        <v/>
      </c>
      <c r="I658" s="3" t="n">
        <v>12.555</v>
      </c>
      <c r="J658" s="3" t="n">
        <v>11.585</v>
      </c>
      <c r="K658" s="3" t="n">
        <v>0.9389999999999999</v>
      </c>
      <c r="L658" s="3" t="n">
        <v>0.73</v>
      </c>
      <c r="M658" s="3" t="n"/>
      <c r="N658" s="2" t="n">
        <v>0</v>
      </c>
      <c r="O658" s="2" t="inlineStr">
        <is>
          <t>arcs4_B0, arcs4_B1</t>
        </is>
      </c>
      <c r="P658" s="3" t="n">
        <v>8.317</v>
      </c>
      <c r="Q658" s="2" t="inlineStr">
        <is>
          <t>lasers</t>
        </is>
      </c>
    </row>
    <row r="659">
      <c r="A659" s="2" t="inlineStr">
        <is>
          <t>2026-10-15 16:32</t>
        </is>
      </c>
      <c r="B659" s="2" t="inlineStr">
        <is>
          <t>eb108ec+</t>
        </is>
      </c>
      <c r="C659" s="2" t="inlineStr">
        <is>
          <t>23. arcs : silhouettes adoucies, pyramide coupee a l'ecran et aux parois, passe des arcs a part</t>
        </is>
      </c>
      <c r="D659" s="2" t="inlineStr">
        <is>
          <t>adaptive=0, immobile, banc rapide (lasers complet)</t>
        </is>
      </c>
      <c r="E659" s="2" t="n">
        <v>2</v>
      </c>
      <c r="F659" s="2" t="inlineStr">
        <is>
          <t>L1 eventails 200 x 1000 traits / sous les trusses</t>
        </is>
      </c>
      <c r="G659" s="3" t="n">
        <v>12.595</v>
      </c>
      <c r="H659" s="4">
        <f>IF(G659&gt;0,1000/G659,"")</f>
        <v/>
      </c>
      <c r="I659" s="3" t="n">
        <v>11.72</v>
      </c>
      <c r="J659" s="3" t="n">
        <v>10.92</v>
      </c>
      <c r="K659" s="3" t="n">
        <v>0.795</v>
      </c>
      <c r="L659" s="3" t="n">
        <v>0.803</v>
      </c>
      <c r="M659" s="3" t="n"/>
      <c r="N659" s="2" t="n">
        <v>0</v>
      </c>
      <c r="O659" s="2" t="inlineStr">
        <is>
          <t>arcs4_B0, arcs4_B1</t>
        </is>
      </c>
      <c r="P659" s="3" t="n">
        <v>7.747</v>
      </c>
      <c r="Q659" s="2" t="inlineStr">
        <is>
          <t>lasers</t>
        </is>
      </c>
    </row>
    <row r="660">
      <c r="A660" s="2" t="inlineStr">
        <is>
          <t>2026-10-15 16:32</t>
        </is>
      </c>
      <c r="B660" s="2" t="inlineStr">
        <is>
          <t>eb108ec+</t>
        </is>
      </c>
      <c r="C660" s="2" t="inlineStr">
        <is>
          <t>23. arcs : silhouettes adoucies, pyramide coupee a l'ecran et aux parois, passe des arcs a part</t>
        </is>
      </c>
      <c r="D660" s="2" t="inlineStr">
        <is>
          <t>adaptive=0, immobile, banc rapide (lasers complet)</t>
        </is>
      </c>
      <c r="E660" s="2" t="n">
        <v>2</v>
      </c>
      <c r="F660" s="2" t="inlineStr">
        <is>
          <t>L2 cones 200 x 32 segments / public</t>
        </is>
      </c>
      <c r="G660" s="3" t="n">
        <v>20.01</v>
      </c>
      <c r="H660" s="4">
        <f>IF(G660&gt;0,1000/G660,"")</f>
        <v/>
      </c>
      <c r="I660" s="3" t="n">
        <v>19.315</v>
      </c>
      <c r="J660" s="3" t="n">
        <v>18.68</v>
      </c>
      <c r="K660" s="3" t="n">
        <v>0.906</v>
      </c>
      <c r="L660" s="3" t="n">
        <v>0.669</v>
      </c>
      <c r="M660" s="3" t="n"/>
      <c r="N660" s="2" t="n">
        <v>0</v>
      </c>
      <c r="O660" s="2" t="inlineStr">
        <is>
          <t>arcs4_B0, arcs4_B1</t>
        </is>
      </c>
      <c r="P660" s="3" t="n">
        <v>15.387</v>
      </c>
      <c r="Q660" s="2" t="inlineStr">
        <is>
          <t>lasers</t>
        </is>
      </c>
    </row>
    <row r="661">
      <c r="A661" s="2" t="inlineStr">
        <is>
          <t>2026-10-15 16:32</t>
        </is>
      </c>
      <c r="B661" s="2" t="inlineStr">
        <is>
          <t>eb108ec+</t>
        </is>
      </c>
      <c r="C661" s="2" t="inlineStr">
        <is>
          <t>23. arcs : silhouettes adoucies, pyramide coupee a l'ecran et aux parois, passe des arcs a part</t>
        </is>
      </c>
      <c r="D661" s="2" t="inlineStr">
        <is>
          <t>adaptive=0, immobile, banc rapide (lasers complet)</t>
        </is>
      </c>
      <c r="E661" s="2" t="n">
        <v>2</v>
      </c>
      <c r="F661" s="2" t="inlineStr">
        <is>
          <t>L2 cones 200 x 32 segments / scene</t>
        </is>
      </c>
      <c r="G661" s="3" t="n">
        <v>20.18</v>
      </c>
      <c r="H661" s="4">
        <f>IF(G661&gt;0,1000/G661,"")</f>
        <v/>
      </c>
      <c r="I661" s="3" t="n">
        <v>19.355</v>
      </c>
      <c r="J661" s="3" t="n">
        <v>19.01</v>
      </c>
      <c r="K661" s="3" t="n">
        <v>0.98</v>
      </c>
      <c r="L661" s="3" t="n">
        <v>0.744</v>
      </c>
      <c r="M661" s="3" t="n"/>
      <c r="N661" s="2" t="n">
        <v>0</v>
      </c>
      <c r="O661" s="2" t="inlineStr">
        <is>
          <t>arcs4_B0, arcs4_B1</t>
        </is>
      </c>
      <c r="P661" s="3" t="n">
        <v>15.024</v>
      </c>
      <c r="Q661" s="2" t="inlineStr">
        <is>
          <t>lasers</t>
        </is>
      </c>
    </row>
    <row r="662">
      <c r="A662" s="2" t="inlineStr">
        <is>
          <t>2026-10-15 16:32</t>
        </is>
      </c>
      <c r="B662" s="2" t="inlineStr">
        <is>
          <t>eb108ec+</t>
        </is>
      </c>
      <c r="C662" s="2" t="inlineStr">
        <is>
          <t>23. arcs : silhouettes adoucies, pyramide coupee a l'ecran et aux parois, passe des arcs a part</t>
        </is>
      </c>
      <c r="D662" s="2" t="inlineStr">
        <is>
          <t>adaptive=0, immobile, banc rapide (lasers complet)</t>
        </is>
      </c>
      <c r="E662" s="2" t="n">
        <v>2</v>
      </c>
      <c r="F662" s="2" t="inlineStr">
        <is>
          <t>L3 camera dans les nappes</t>
        </is>
      </c>
      <c r="G662" s="3" t="n">
        <v>13.56</v>
      </c>
      <c r="H662" s="4">
        <f>IF(G662&gt;0,1000/G662,"")</f>
        <v/>
      </c>
      <c r="I662" s="3" t="n">
        <v>12.525</v>
      </c>
      <c r="J662" s="3" t="n">
        <v>11.605</v>
      </c>
      <c r="K662" s="3" t="n">
        <v>0.8129999999999999</v>
      </c>
      <c r="L662" s="3" t="n">
        <v>0.713</v>
      </c>
      <c r="M662" s="3" t="n"/>
      <c r="N662" s="2" t="n">
        <v>0</v>
      </c>
      <c r="O662" s="2" t="inlineStr">
        <is>
          <t>arcs4_B0, arcs4_B1</t>
        </is>
      </c>
      <c r="P662" s="3" t="n">
        <v>8.417</v>
      </c>
      <c r="Q662" s="2" t="inlineStr">
        <is>
          <t>lasers</t>
        </is>
      </c>
    </row>
    <row r="663">
      <c r="A663" s="2" t="inlineStr">
        <is>
          <t>2026-10-15 16:32</t>
        </is>
      </c>
      <c r="B663" s="2" t="inlineStr">
        <is>
          <t>eb108ec+</t>
        </is>
      </c>
      <c r="C663" s="2" t="inlineStr">
        <is>
          <t>23. arcs : silhouettes adoucies, pyramide coupee a l'ecran et aux parois, passe des arcs a part</t>
        </is>
      </c>
      <c r="D663" s="2" t="inlineStr">
        <is>
          <t>adaptive=0, immobile, banc rapide (lasers complet)</t>
        </is>
      </c>
      <c r="E663" s="2" t="n">
        <v>2</v>
      </c>
      <c r="F663" s="2" t="inlineStr">
        <is>
          <t>L4 200 x 8 traits separes / public</t>
        </is>
      </c>
      <c r="G663" s="3" t="n">
        <v>7.295</v>
      </c>
      <c r="H663" s="4">
        <f>IF(G663&gt;0,1000/G663,"")</f>
        <v/>
      </c>
      <c r="I663" s="3" t="n">
        <v>6.32</v>
      </c>
      <c r="J663" s="3" t="n">
        <v>4.815</v>
      </c>
      <c r="K663" s="3" t="n">
        <v>0.871</v>
      </c>
      <c r="L663" s="3" t="n">
        <v>0.661</v>
      </c>
      <c r="M663" s="3" t="n"/>
      <c r="N663" s="2" t="n">
        <v>0</v>
      </c>
      <c r="O663" s="2" t="inlineStr">
        <is>
          <t>arcs4_B0, arcs4_B1</t>
        </is>
      </c>
      <c r="P663" s="3" t="n">
        <v>1.702</v>
      </c>
      <c r="Q663" s="2" t="inlineStr">
        <is>
          <t>lasers</t>
        </is>
      </c>
    </row>
    <row r="664">
      <c r="A664" s="2" t="inlineStr">
        <is>
          <t>2026-10-15 16:32</t>
        </is>
      </c>
      <c r="B664" s="2" t="inlineStr">
        <is>
          <t>eb108ec+</t>
        </is>
      </c>
      <c r="C664" s="2" t="inlineStr">
        <is>
          <t>23. arcs : silhouettes adoucies, pyramide coupee a l'ecran et aux parois, passe des arcs a part</t>
        </is>
      </c>
      <c r="D664" s="2" t="inlineStr">
        <is>
          <t>adaptive=0, immobile, banc rapide (lasers complet)</t>
        </is>
      </c>
      <c r="E664" s="2" t="n">
        <v>2</v>
      </c>
      <c r="F664" s="2" t="inlineStr">
        <is>
          <t>L5 nappes en gros plan, fumee epaisse</t>
        </is>
      </c>
      <c r="G664" s="3" t="n">
        <v>13.605</v>
      </c>
      <c r="H664" s="4">
        <f>IF(G664&gt;0,1000/G664,"")</f>
        <v/>
      </c>
      <c r="I664" s="3" t="n">
        <v>12.765</v>
      </c>
      <c r="J664" s="3" t="n">
        <v>11.8</v>
      </c>
      <c r="K664" s="3" t="n">
        <v>0.804</v>
      </c>
      <c r="L664" s="3" t="n">
        <v>0.671</v>
      </c>
      <c r="M664" s="3" t="n"/>
      <c r="N664" s="2" t="n">
        <v>0</v>
      </c>
      <c r="O664" s="2" t="inlineStr">
        <is>
          <t>arcs4_B0, arcs4_B1</t>
        </is>
      </c>
      <c r="P664" s="3" t="n">
        <v>8.497</v>
      </c>
      <c r="Q664" s="2" t="inlineStr">
        <is>
          <t>lasers</t>
        </is>
      </c>
    </row>
    <row r="665">
      <c r="A665" s="2" t="inlineStr">
        <is>
          <t>2026-10-15 16:32</t>
        </is>
      </c>
      <c r="B665" s="2" t="inlineStr">
        <is>
          <t>eb108ec+</t>
        </is>
      </c>
      <c r="C665" s="2" t="inlineStr">
        <is>
          <t>23. arcs : silhouettes adoucies, pyramide coupee a l'ecran et aux parois, passe des arcs a part</t>
        </is>
      </c>
      <c r="D665" s="2" t="inlineStr">
        <is>
          <t>adaptive=0, immobile, banc rapide (lasers complet)</t>
        </is>
      </c>
      <c r="E665" s="2" t="n">
        <v>2</v>
      </c>
      <c r="F665" s="2" t="inlineStr">
        <is>
          <t>L6 traits vers le sol et les obstacles / public</t>
        </is>
      </c>
      <c r="G665" s="3" t="n">
        <v>15.72</v>
      </c>
      <c r="H665" s="4">
        <f>IF(G665&gt;0,1000/G665,"")</f>
        <v/>
      </c>
      <c r="I665" s="3" t="n">
        <v>15</v>
      </c>
      <c r="J665" s="3" t="n">
        <v>14.52</v>
      </c>
      <c r="K665" s="3" t="n">
        <v>0.985</v>
      </c>
      <c r="L665" s="3" t="n">
        <v>0.696</v>
      </c>
      <c r="M665" s="3" t="n"/>
      <c r="N665" s="2" t="n">
        <v>0</v>
      </c>
      <c r="O665" s="2" t="inlineStr">
        <is>
          <t>arcs4_B0, arcs4_B1</t>
        </is>
      </c>
      <c r="P665" s="3" t="n">
        <v>10.954</v>
      </c>
      <c r="Q665" s="2" t="inlineStr">
        <is>
          <t>lasers</t>
        </is>
      </c>
    </row>
    <row r="666">
      <c r="A666" s="2" t="inlineStr">
        <is>
          <t>2026-10-15 16:32</t>
        </is>
      </c>
      <c r="B666" s="2" t="inlineStr">
        <is>
          <t>eb108ec+</t>
        </is>
      </c>
      <c r="C666" s="2" t="inlineStr">
        <is>
          <t>23. arcs : silhouettes adoucies, pyramide coupee a l'ecran et aux parois, passe des arcs a part</t>
        </is>
      </c>
      <c r="D666" s="2" t="inlineStr">
        <is>
          <t>adaptive=0, immobile, banc rapide (lasers complet)</t>
        </is>
      </c>
      <c r="E666" s="2" t="n">
        <v>2</v>
      </c>
      <c r="F666" s="2" t="inlineStr">
        <is>
          <t>M1 100 lyres + 100 lasers / public</t>
        </is>
      </c>
      <c r="G666" s="3" t="n">
        <v>11.79</v>
      </c>
      <c r="H666" s="4">
        <f>IF(G666&gt;0,1000/G666,"")</f>
        <v/>
      </c>
      <c r="I666" s="3" t="n">
        <v>10.96</v>
      </c>
      <c r="J666" s="3" t="n">
        <v>10.595</v>
      </c>
      <c r="K666" s="3" t="n">
        <v>1.533</v>
      </c>
      <c r="L666" s="3" t="n">
        <v>1.399</v>
      </c>
      <c r="M666" s="3" t="n"/>
      <c r="N666" s="2" t="n">
        <v>49</v>
      </c>
      <c r="O666" s="2" t="inlineStr">
        <is>
          <t>arcs4_B0, arcs4_B1</t>
        </is>
      </c>
      <c r="P666" s="3" t="n">
        <v>5.281</v>
      </c>
      <c r="Q666" s="2" t="inlineStr">
        <is>
          <t>lasers</t>
        </is>
      </c>
    </row>
    <row r="667">
      <c r="A667" s="2" t="inlineStr">
        <is>
          <t>2026-10-15 16:32</t>
        </is>
      </c>
      <c r="B667" s="2" t="inlineStr">
        <is>
          <t>eb108ec+</t>
        </is>
      </c>
      <c r="C667" s="2" t="inlineStr">
        <is>
          <t>23. arcs : silhouettes adoucies, pyramide coupee a l'ecran et aux parois, passe des arcs a part</t>
        </is>
      </c>
      <c r="D667" s="2" t="inlineStr">
        <is>
          <t>adaptive=0, immobile, banc rapide (lasers complet)</t>
        </is>
      </c>
      <c r="E667" s="2" t="n">
        <v>2</v>
      </c>
      <c r="F667" s="2" t="inlineStr">
        <is>
          <t>M1 100 lyres + 100 lasers / scene</t>
        </is>
      </c>
      <c r="G667" s="3" t="n">
        <v>11.465</v>
      </c>
      <c r="H667" s="4">
        <f>IF(G667&gt;0,1000/G667,"")</f>
        <v/>
      </c>
      <c r="I667" s="3" t="n">
        <v>10.515</v>
      </c>
      <c r="J667" s="3" t="n">
        <v>9.4</v>
      </c>
      <c r="K667" s="3" t="n">
        <v>1.438</v>
      </c>
      <c r="L667" s="3" t="n">
        <v>1.381</v>
      </c>
      <c r="M667" s="3" t="n"/>
      <c r="N667" s="2" t="n">
        <v>49</v>
      </c>
      <c r="O667" s="2" t="inlineStr">
        <is>
          <t>arcs4_B0, arcs4_B1</t>
        </is>
      </c>
      <c r="P667" s="3" t="n">
        <v>4.345</v>
      </c>
      <c r="Q667" s="2" t="inlineStr">
        <is>
          <t>lasers</t>
        </is>
      </c>
    </row>
    <row r="668">
      <c r="A668" s="2" t="inlineStr">
        <is>
          <t>2026-10-15 16:32</t>
        </is>
      </c>
      <c r="B668" s="2" t="inlineStr">
        <is>
          <t>eb108ec+</t>
        </is>
      </c>
      <c r="C668" s="2" t="inlineStr">
        <is>
          <t>23. arcs : silhouettes adoucies, pyramide coupee a l'ecran et aux parois, passe des arcs a part</t>
        </is>
      </c>
      <c r="D668" s="2" t="inlineStr">
        <is>
          <t>adaptive=0, immobile, banc rapide (lasers complet)</t>
        </is>
      </c>
      <c r="E668" s="2" t="n">
        <v>2</v>
      </c>
      <c r="F668" s="2" t="inlineStr">
        <is>
          <t>M1 100 lyres + 100 lasers / sous les trusses</t>
        </is>
      </c>
      <c r="G668" s="3" t="n">
        <v>11.415</v>
      </c>
      <c r="H668" s="4">
        <f>IF(G668&gt;0,1000/G668,"")</f>
        <v/>
      </c>
      <c r="I668" s="3" t="n">
        <v>10.425</v>
      </c>
      <c r="J668" s="3" t="n">
        <v>8.9</v>
      </c>
      <c r="K668" s="3" t="n">
        <v>1.11</v>
      </c>
      <c r="L668" s="3" t="n">
        <v>1.294</v>
      </c>
      <c r="M668" s="3" t="n"/>
      <c r="N668" s="2" t="n">
        <v>49</v>
      </c>
      <c r="O668" s="2" t="inlineStr">
        <is>
          <t>arcs4_B0, arcs4_B1</t>
        </is>
      </c>
      <c r="P668" s="3" t="n">
        <v>4.229</v>
      </c>
      <c r="Q668" s="2" t="inlineStr">
        <is>
          <t>lasers</t>
        </is>
      </c>
    </row>
    <row r="669">
      <c r="A669" s="2" t="inlineStr">
        <is>
          <t>2026-10-15 16:32</t>
        </is>
      </c>
      <c r="B669" s="2" t="inlineStr">
        <is>
          <t>eb108ec+</t>
        </is>
      </c>
      <c r="C669" s="2" t="inlineStr">
        <is>
          <t>23. arcs : silhouettes adoucies, pyramide coupee a l'ecran et aux parois, passe des arcs a part</t>
        </is>
      </c>
      <c r="D669" s="2" t="inlineStr">
        <is>
          <t>adaptive=0, immobile, banc rapide (lasers complet)</t>
        </is>
      </c>
      <c r="E669" s="2" t="n">
        <v>2</v>
      </c>
      <c r="F669" s="2" t="inlineStr">
        <is>
          <t>sans lasers (scene seule) / public</t>
        </is>
      </c>
      <c r="G669" s="3" t="n">
        <v>5.2</v>
      </c>
      <c r="H669" s="4">
        <f>IF(G669&gt;0,1000/G669,"")</f>
        <v/>
      </c>
      <c r="I669" s="3" t="n">
        <v>2.675</v>
      </c>
      <c r="J669" s="3" t="n">
        <v>2.58</v>
      </c>
      <c r="K669" s="3" t="n">
        <v>0.783</v>
      </c>
      <c r="L669" s="3" t="n">
        <v>0.665</v>
      </c>
      <c r="M669" s="3" t="n"/>
      <c r="N669" s="2" t="n">
        <v>0</v>
      </c>
      <c r="O669" s="2" t="inlineStr">
        <is>
          <t>arcs4_B0, arcs4_B1</t>
        </is>
      </c>
      <c r="P669" s="3" t="n"/>
      <c r="Q669" s="2" t="inlineStr">
        <is>
          <t>lasers</t>
        </is>
      </c>
    </row>
    <row r="670">
      <c r="A670" s="2" t="inlineStr">
        <is>
          <t>2026-10-15 16:32</t>
        </is>
      </c>
      <c r="B670" s="2" t="inlineStr">
        <is>
          <t>eb108ec+</t>
        </is>
      </c>
      <c r="C670" s="2" t="inlineStr">
        <is>
          <t>23. arcs : silhouettes adoucies, pyramide coupee a l'ecran et aux parois, passe des arcs a part</t>
        </is>
      </c>
      <c r="D670" s="2" t="inlineStr">
        <is>
          <t>adaptive=0, immobile, banc rapide (lasers complet)</t>
        </is>
      </c>
      <c r="E670" s="2" t="n">
        <v>2</v>
      </c>
      <c r="F670" s="2" t="inlineStr">
        <is>
          <t>L7 programmeur : formes, degrades, effets / public</t>
        </is>
      </c>
      <c r="G670" s="3" t="n">
        <v>29.205</v>
      </c>
      <c r="H670" s="4">
        <f>IF(G670&gt;0,1000/G670,"")</f>
        <v/>
      </c>
      <c r="I670" s="3" t="n">
        <v>28.34</v>
      </c>
      <c r="J670" s="3" t="n">
        <v>27.935</v>
      </c>
      <c r="K670" s="3" t="n">
        <v>0.924</v>
      </c>
      <c r="L670" s="3" t="n">
        <v>0.669</v>
      </c>
      <c r="M670" s="3" t="n"/>
      <c r="N670" s="2" t="n">
        <v>0</v>
      </c>
      <c r="O670" s="2" t="inlineStr">
        <is>
          <t>arcs4_B0, arcs4_B1</t>
        </is>
      </c>
      <c r="P670" s="3" t="n">
        <v>24.295</v>
      </c>
      <c r="Q670" s="2" t="inlineStr">
        <is>
          <t>lasers</t>
        </is>
      </c>
    </row>
    <row r="671">
      <c r="A671" s="2" t="inlineStr">
        <is>
          <t>2026-10-15 16:32</t>
        </is>
      </c>
      <c r="B671" s="2" t="inlineStr">
        <is>
          <t>eb108ec+</t>
        </is>
      </c>
      <c r="C671" s="2" t="inlineStr">
        <is>
          <t>23. arcs : silhouettes adoucies, pyramide coupee a l'ecran et aux parois, passe des arcs a part</t>
        </is>
      </c>
      <c r="D671" s="2" t="inlineStr">
        <is>
          <t>adaptive=0, immobile, banc rapide (lasers complet)</t>
        </is>
      </c>
      <c r="E671" s="2" t="n">
        <v>2</v>
      </c>
      <c r="F671" s="2" t="inlineStr">
        <is>
          <t>I1 ILDA nappes (banque Nappes) / public</t>
        </is>
      </c>
      <c r="G671" s="3" t="n">
        <v>40.935</v>
      </c>
      <c r="H671" s="4">
        <f>IF(G671&gt;0,1000/G671,"")</f>
        <v/>
      </c>
      <c r="I671" s="3" t="n">
        <v>40.18</v>
      </c>
      <c r="J671" s="3" t="n">
        <v>40.14</v>
      </c>
      <c r="K671" s="3" t="n">
        <v>1.024</v>
      </c>
      <c r="L671" s="3" t="n">
        <v>0.704</v>
      </c>
      <c r="M671" s="3" t="n"/>
      <c r="N671" s="2" t="n">
        <v>0</v>
      </c>
      <c r="O671" s="2" t="inlineStr">
        <is>
          <t>arcs4_B0, arcs4_B1</t>
        </is>
      </c>
      <c r="P671" s="3" t="n">
        <v>36.163</v>
      </c>
      <c r="Q671" s="2" t="inlineStr">
        <is>
          <t>lasers</t>
        </is>
      </c>
    </row>
    <row r="672">
      <c r="A672" s="2" t="inlineStr">
        <is>
          <t>2026-10-15 16:32</t>
        </is>
      </c>
      <c r="B672" s="2" t="inlineStr">
        <is>
          <t>eb108ec+</t>
        </is>
      </c>
      <c r="C672" s="2" t="inlineStr">
        <is>
          <t>23. arcs : silhouettes adoucies, pyramide coupee a l'ecran et aux parois, passe des arcs a part</t>
        </is>
      </c>
      <c r="D672" s="2" t="inlineStr">
        <is>
          <t>adaptive=0, immobile, banc rapide (lasers complet)</t>
        </is>
      </c>
      <c r="E672" s="2" t="n">
        <v>2</v>
      </c>
      <c r="F672" s="2" t="inlineStr">
        <is>
          <t>I2 ILDA faisceaux (banque Faisceaux) / public</t>
        </is>
      </c>
      <c r="G672" s="3" t="n">
        <v>8.645</v>
      </c>
      <c r="H672" s="4">
        <f>IF(G672&gt;0,1000/G672,"")</f>
        <v/>
      </c>
      <c r="I672" s="3" t="n">
        <v>6.855</v>
      </c>
      <c r="J672" s="3" t="n">
        <v>6.05</v>
      </c>
      <c r="K672" s="3" t="n">
        <v>0.962</v>
      </c>
      <c r="L672" s="3" t="n">
        <v>0.657</v>
      </c>
      <c r="M672" s="3" t="n"/>
      <c r="N672" s="2" t="n">
        <v>0</v>
      </c>
      <c r="O672" s="2" t="inlineStr">
        <is>
          <t>arcs4_B0, arcs4_B1</t>
        </is>
      </c>
      <c r="P672" s="3" t="n">
        <v>2.894</v>
      </c>
      <c r="Q672" s="2" t="inlineStr">
        <is>
          <t>lasers</t>
        </is>
      </c>
    </row>
    <row r="673">
      <c r="A673" s="2" t="inlineStr">
        <is>
          <t>2026-10-15 16:32</t>
        </is>
      </c>
      <c r="B673" s="2" t="inlineStr">
        <is>
          <t>eb108ec+</t>
        </is>
      </c>
      <c r="C673" s="2" t="inlineStr">
        <is>
          <t>23. arcs : silhouettes adoucies, pyramide coupee a l'ecran et aux parois, passe des arcs a part</t>
        </is>
      </c>
      <c r="D673" s="2" t="inlineStr">
        <is>
          <t>adaptive=0, immobile, banc rapide (lasers complet)</t>
        </is>
      </c>
      <c r="E673" s="2" t="n">
        <v>2</v>
      </c>
      <c r="F673" s="2" t="inlineStr">
        <is>
          <t>I3 ILDA geometrie (banque Geometrie) / public</t>
        </is>
      </c>
      <c r="G673" s="3" t="n">
        <v>54.705</v>
      </c>
      <c r="H673" s="4">
        <f>IF(G673&gt;0,1000/G673,"")</f>
        <v/>
      </c>
      <c r="I673" s="3" t="n">
        <v>53.605</v>
      </c>
      <c r="J673" s="3" t="n">
        <v>53.255</v>
      </c>
      <c r="K673" s="3" t="n">
        <v>0.978</v>
      </c>
      <c r="L673" s="3" t="n">
        <v>0.6830000000000001</v>
      </c>
      <c r="M673" s="3" t="n"/>
      <c r="N673" s="2" t="n">
        <v>0</v>
      </c>
      <c r="O673" s="2" t="inlineStr">
        <is>
          <t>arcs4_B0, arcs4_B1</t>
        </is>
      </c>
      <c r="P673" s="3" t="n">
        <v>48.822</v>
      </c>
      <c r="Q673" s="2" t="inlineStr">
        <is>
          <t>lasers</t>
        </is>
      </c>
    </row>
    <row r="674">
      <c r="A674" s="2" t="inlineStr">
        <is>
          <t>2026-10-15 16:32</t>
        </is>
      </c>
      <c r="B674" s="2" t="inlineStr">
        <is>
          <t>eb108ec+</t>
        </is>
      </c>
      <c r="C674" s="2" t="inlineStr">
        <is>
          <t>23. arcs : silhouettes adoucies, pyramide coupee a l'ecran et aux parois, passe des arcs a part</t>
        </is>
      </c>
      <c r="D674" s="2" t="inlineStr">
        <is>
          <t>adaptive=0, immobile, banc rapide (lasers complet)</t>
        </is>
      </c>
      <c r="E674" s="2" t="n">
        <v>2</v>
      </c>
      <c r="F674" s="2" t="inlineStr">
        <is>
          <t>I4 ILDA tunnels (banque Tunnels) / public</t>
        </is>
      </c>
      <c r="G674" s="3" t="n">
        <v>38.64</v>
      </c>
      <c r="H674" s="4">
        <f>IF(G674&gt;0,1000/G674,"")</f>
        <v/>
      </c>
      <c r="I674" s="3" t="n">
        <v>37.86</v>
      </c>
      <c r="J674" s="3" t="n">
        <v>37.7</v>
      </c>
      <c r="K674" s="3" t="n">
        <v>1.045</v>
      </c>
      <c r="L674" s="3" t="n">
        <v>0.704</v>
      </c>
      <c r="M674" s="3" t="n"/>
      <c r="N674" s="2" t="n">
        <v>0</v>
      </c>
      <c r="O674" s="2" t="inlineStr">
        <is>
          <t>arcs4_B0, arcs4_B1</t>
        </is>
      </c>
      <c r="P674" s="3" t="n">
        <v>33.206</v>
      </c>
      <c r="Q674" s="2" t="inlineStr">
        <is>
          <t>lasers</t>
        </is>
      </c>
    </row>
    <row r="675">
      <c r="A675" s="2" t="inlineStr">
        <is>
          <t>2026-10-15 16:32</t>
        </is>
      </c>
      <c r="B675" s="2" t="inlineStr">
        <is>
          <t>eb108ec+</t>
        </is>
      </c>
      <c r="C675" s="2" t="inlineStr">
        <is>
          <t>23. arcs : silhouettes adoucies, pyramide coupee a l'ecran et aux parois, passe des arcs a part</t>
        </is>
      </c>
      <c r="D675" s="2" t="inlineStr">
        <is>
          <t>adaptive=0, immobile, banc rapide (lasers complet)</t>
        </is>
      </c>
      <c r="E675" s="2" t="n">
        <v>2</v>
      </c>
      <c r="F675" s="2" t="inlineStr">
        <is>
          <t>L1 en mode ligne (nappes continues) / public</t>
        </is>
      </c>
      <c r="G675" s="3" t="n">
        <v>13.735</v>
      </c>
      <c r="H675" s="4">
        <f>IF(G675&gt;0,1000/G675,"")</f>
        <v/>
      </c>
      <c r="I675" s="3" t="n">
        <v>12.905</v>
      </c>
      <c r="J675" s="3" t="n">
        <v>12</v>
      </c>
      <c r="K675" s="3" t="n">
        <v>0.982</v>
      </c>
      <c r="L675" s="3" t="n">
        <v>0.6909999999999999</v>
      </c>
      <c r="M675" s="3" t="n"/>
      <c r="N675" s="2" t="n">
        <v>0</v>
      </c>
      <c r="O675" s="2" t="inlineStr">
        <is>
          <t>arcs4_B0, arcs4_B1</t>
        </is>
      </c>
      <c r="P675" s="3" t="n">
        <v>8.73</v>
      </c>
      <c r="Q675" s="2" t="inlineStr">
        <is>
          <t>lasers</t>
        </is>
      </c>
    </row>
    <row r="676">
      <c r="A676" s="2" t="inlineStr">
        <is>
          <t>2026-10-15 16:32</t>
        </is>
      </c>
      <c r="B676" s="2" t="inlineStr">
        <is>
          <t>eb108ec+</t>
        </is>
      </c>
      <c r="C676" s="2" t="inlineStr">
        <is>
          <t>23. arcs : silhouettes adoucies, pyramide coupee a l'ecran et aux parois, passe des arcs a part</t>
        </is>
      </c>
      <c r="D676" s="2" t="inlineStr">
        <is>
          <t>adaptive=0, immobile, banc rapide (lyres)</t>
        </is>
      </c>
      <c r="E676" s="2" t="n">
        <v>2</v>
      </c>
      <c r="F676" s="2" t="inlineStr">
        <is>
          <t>defaut / public</t>
        </is>
      </c>
      <c r="G676" s="3" t="n">
        <v>8.109999999999999</v>
      </c>
      <c r="H676" s="4">
        <f>IF(G676&gt;0,1000/G676,"")</f>
        <v/>
      </c>
      <c r="I676" s="3" t="n">
        <v>6.785</v>
      </c>
      <c r="J676" s="3" t="n">
        <v>6.085</v>
      </c>
      <c r="K676" s="3" t="n">
        <v>1.626</v>
      </c>
      <c r="L676" s="3" t="n">
        <v>2.055</v>
      </c>
      <c r="M676" s="3" t="n"/>
      <c r="N676" s="2" t="n">
        <v>98</v>
      </c>
      <c r="O676" s="2" t="inlineStr">
        <is>
          <t>arcs4ly_B0, arcs4ly_B1</t>
        </is>
      </c>
      <c r="P676" s="3" t="n"/>
      <c r="Q676" s="2" t="inlineStr">
        <is>
          <t>lyres</t>
        </is>
      </c>
    </row>
    <row r="677">
      <c r="A677" s="2" t="inlineStr">
        <is>
          <t>2026-10-15 16:32</t>
        </is>
      </c>
      <c r="B677" s="2" t="inlineStr">
        <is>
          <t>eb108ec+</t>
        </is>
      </c>
      <c r="C677" s="2" t="inlineStr">
        <is>
          <t>23. arcs : silhouettes adoucies, pyramide coupee a l'ecran et aux parois, passe des arcs a part</t>
        </is>
      </c>
      <c r="D677" s="2" t="inlineStr">
        <is>
          <t>adaptive=0, immobile, banc rapide (lyres)</t>
        </is>
      </c>
      <c r="E677" s="2" t="n">
        <v>2</v>
      </c>
      <c r="F677" s="2" t="inlineStr">
        <is>
          <t>gobo + prisme 8 + zoom 25 / public</t>
        </is>
      </c>
      <c r="G677" s="3" t="n">
        <v>17.805</v>
      </c>
      <c r="H677" s="4">
        <f>IF(G677&gt;0,1000/G677,"")</f>
        <v/>
      </c>
      <c r="I677" s="3" t="n">
        <v>16.915</v>
      </c>
      <c r="J677" s="3" t="n">
        <v>16.845</v>
      </c>
      <c r="K677" s="3" t="n">
        <v>5.97</v>
      </c>
      <c r="L677" s="3" t="n">
        <v>6.838</v>
      </c>
      <c r="M677" s="3" t="n"/>
      <c r="N677" s="2" t="n">
        <v>280</v>
      </c>
      <c r="O677" s="2" t="inlineStr">
        <is>
          <t>arcs4ly_B0, arcs4ly_B1</t>
        </is>
      </c>
      <c r="P677" s="3" t="n"/>
      <c r="Q677" s="2" t="inlineStr">
        <is>
          <t>lyres</t>
        </is>
      </c>
    </row>
    <row r="678">
      <c r="A678" s="2" t="inlineStr">
        <is>
          <t>2026-10-15 16:32</t>
        </is>
      </c>
      <c r="B678" s="2" t="inlineStr">
        <is>
          <t>eb108ec+</t>
        </is>
      </c>
      <c r="C678" s="2" t="inlineStr">
        <is>
          <t>23. arcs : silhouettes adoucies, pyramide coupee a l'ecran et aux parois, passe des arcs a part</t>
        </is>
      </c>
      <c r="D678" s="2" t="inlineStr">
        <is>
          <t>adaptive=0, immobile, banc rapide (lyres)</t>
        </is>
      </c>
      <c r="E678" s="2" t="n">
        <v>2</v>
      </c>
      <c r="F678" s="2" t="inlineStr">
        <is>
          <t>zoom 45 + frost 0.6 / public</t>
        </is>
      </c>
      <c r="G678" s="3" t="n">
        <v>11.635</v>
      </c>
      <c r="H678" s="4">
        <f>IF(G678&gt;0,1000/G678,"")</f>
        <v/>
      </c>
      <c r="I678" s="3" t="n">
        <v>10.725</v>
      </c>
      <c r="J678" s="3" t="n">
        <v>10.215</v>
      </c>
      <c r="K678" s="3" t="n">
        <v>3.405</v>
      </c>
      <c r="L678" s="3" t="n">
        <v>4.174</v>
      </c>
      <c r="M678" s="3" t="n"/>
      <c r="N678" s="2" t="n">
        <v>887</v>
      </c>
      <c r="O678" s="2" t="inlineStr">
        <is>
          <t>arcs4ly_B0, arcs4ly_B1</t>
        </is>
      </c>
      <c r="P678" s="3" t="n"/>
      <c r="Q678" s="2" t="inlineStr">
        <is>
          <t>lyres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7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  <c r="AH2" s="1" t="inlineStr">
        <is>
          <t>14. Lasers : fumee de la piece (coupee, laserfog=0)</t>
        </is>
      </c>
      <c r="AI2" s="1" t="inlineStr">
        <is>
          <t>14. Lasers : fumee de la piece (laserfog=1)</t>
        </is>
      </c>
      <c r="AJ2" s="1" t="inlineStr">
        <is>
          <t>15. Lasers : diffusion avant 1 lobe (laserphase=0)</t>
        </is>
      </c>
      <c r="AK2" s="1" t="inlineStr">
        <is>
          <t>15. Lasers : diffusion avant 2 lobes (laserphase=1)</t>
        </is>
      </c>
      <c r="AL2" s="1" t="inlineStr">
        <is>
          <t>16. Lasers : volutes coupees (volutes=0)</t>
        </is>
      </c>
      <c r="AM2" s="1" t="inlineStr">
        <is>
          <t>16. Lasers : volutes 1 octave (BC5 64^3, 1,6 m)</t>
        </is>
      </c>
      <c r="AN2" s="1" t="inlineStr">
        <is>
          <t>17. Lasers : volutes, 2e octave coupee (volfine=0)</t>
        </is>
      </c>
      <c r="AO2" s="1" t="inlineStr">
        <is>
          <t>17. Lasers : volutes, 2e octave de pres (volfine=1, portee -1)</t>
        </is>
      </c>
      <c r="AP2" s="1" t="inlineStr">
        <is>
          <t>18. Lasers : variantes du shader, tout coupe (variante 0)</t>
        </is>
      </c>
      <c r="AQ2" s="1" t="inlineStr">
        <is>
          <t>18. Lasers : variante 1 (fumee de la piece, 2 lobes)</t>
        </is>
      </c>
      <c r="AR2" s="1" t="inlineStr">
        <is>
          <t>18. Lasers : variante 3 (+ volutes, 2 octaves)</t>
        </is>
      </c>
      <c r="AS2" s="1" t="inlineStr">
        <is>
          <t>19. Lasers : etape 3 avant (reference)</t>
        </is>
      </c>
      <c r="AT2" s="1" t="inlineStr">
        <is>
          <t>19. Lasers : etape 3 finale (fumee de la piece RG8, 2 lobes, volutes)</t>
        </is>
      </c>
      <c r="AU2" s="1" t="inlineStr">
        <is>
          <t>19. Lyres : etape 3 finale (texture des amas RG8)</t>
        </is>
      </c>
      <c r="AV2" s="1" t="inlineStr">
        <is>
          <t>20. Lasers : lecture ILDA, mode ligne, 16 384 segments</t>
        </is>
      </c>
      <c r="AW2" s="1" t="inlineStr">
        <is>
          <t>20a. Essai ecarte : variante nappes et traits seuls (coupee)</t>
        </is>
      </c>
      <c r="AX2" s="1" t="inlineStr">
        <is>
          <t>20a. Essai ecarte : variante nappes et traits seuls (active)</t>
        </is>
      </c>
      <c r="AY2" s="1" t="inlineStr">
        <is>
          <t>20. Lyres : lecture ILDA (inchange)</t>
        </is>
      </c>
      <c r="AZ2" s="1" t="inlineStr">
        <is>
          <t>21. Lasers : collisions, code present coupe (lasercoll=0)</t>
        </is>
      </c>
      <c r="BA2" s="1" t="inlineStr">
        <is>
          <t>21. Lasers : collisions actives (essai, test avec branchement)</t>
        </is>
      </c>
      <c r="BB2" s="1" t="inlineStr">
        <is>
          <t>22. Lasers : impacts coupes (laserimpacts=0)</t>
        </is>
      </c>
      <c r="BC2" s="1" t="inlineStr">
        <is>
          <t>22. Lasers : impacts sur les surfaces</t>
        </is>
      </c>
      <c r="BD2" s="1" t="inlineStr">
        <is>
          <t>22b. Lasers : etape 5 (collisions + impacts), en mouvement</t>
        </is>
      </c>
      <c r="BE2" s="1" t="inlineStr">
        <is>
          <t>22b. Lyres : etape 5 (inchange)</t>
        </is>
      </c>
      <c r="BF2" s="1" t="inlineStr">
        <is>
          <t>23. arcs : silhouettes adoucies, pyramide coupee a l'ecran et aux parois, passe des arcs a part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  <c r="AH3" s="4">
        <f>IFERROR(AVERAGEIFS(Mesures!$H:$H,Mesures!$F:$F,$A3,Mesures!$C:$C,AH$2),"")</f>
        <v/>
      </c>
      <c r="AI3" s="4">
        <f>IFERROR(AVERAGEIFS(Mesures!$H:$H,Mesures!$F:$F,$A3,Mesures!$C:$C,AI$2),"")</f>
        <v/>
      </c>
      <c r="AJ3" s="4">
        <f>IFERROR(AVERAGEIFS(Mesures!$H:$H,Mesures!$F:$F,$A3,Mesures!$C:$C,AJ$2),"")</f>
        <v/>
      </c>
      <c r="AK3" s="4">
        <f>IFERROR(AVERAGEIFS(Mesures!$H:$H,Mesures!$F:$F,$A3,Mesures!$C:$C,AK$2),"")</f>
        <v/>
      </c>
      <c r="AL3" s="4">
        <f>IFERROR(AVERAGEIFS(Mesures!$H:$H,Mesures!$F:$F,$A3,Mesures!$C:$C,AL$2),"")</f>
        <v/>
      </c>
      <c r="AM3" s="4">
        <f>IFERROR(AVERAGEIFS(Mesures!$H:$H,Mesures!$F:$F,$A3,Mesures!$C:$C,AM$2),"")</f>
        <v/>
      </c>
      <c r="AN3" s="4">
        <f>IFERROR(AVERAGEIFS(Mesures!$H:$H,Mesures!$F:$F,$A3,Mesures!$C:$C,AN$2),"")</f>
        <v/>
      </c>
      <c r="AO3" s="4">
        <f>IFERROR(AVERAGEIFS(Mesures!$H:$H,Mesures!$F:$F,$A3,Mesures!$C:$C,AO$2),"")</f>
        <v/>
      </c>
      <c r="AP3" s="4">
        <f>IFERROR(AVERAGEIFS(Mesures!$H:$H,Mesures!$F:$F,$A3,Mesures!$C:$C,AP$2),"")</f>
        <v/>
      </c>
      <c r="AQ3" s="4">
        <f>IFERROR(AVERAGEIFS(Mesures!$H:$H,Mesures!$F:$F,$A3,Mesures!$C:$C,AQ$2),"")</f>
        <v/>
      </c>
      <c r="AR3" s="4">
        <f>IFERROR(AVERAGEIFS(Mesures!$H:$H,Mesures!$F:$F,$A3,Mesures!$C:$C,AR$2),"")</f>
        <v/>
      </c>
      <c r="AS3" s="4">
        <f>IFERROR(AVERAGEIFS(Mesures!$H:$H,Mesures!$F:$F,$A3,Mesures!$C:$C,AS$2),"")</f>
        <v/>
      </c>
      <c r="AT3" s="4">
        <f>IFERROR(AVERAGEIFS(Mesures!$H:$H,Mesures!$F:$F,$A3,Mesures!$C:$C,AT$2),"")</f>
        <v/>
      </c>
      <c r="AU3" s="4">
        <f>IFERROR(AVERAGEIFS(Mesures!$H:$H,Mesures!$F:$F,$A3,Mesures!$C:$C,AU$2),"")</f>
        <v/>
      </c>
      <c r="AV3" s="4">
        <f>IFERROR(AVERAGEIFS(Mesures!$H:$H,Mesures!$F:$F,$A3,Mesures!$C:$C,AV$2),"")</f>
        <v/>
      </c>
      <c r="AW3" s="4">
        <f>IFERROR(AVERAGEIFS(Mesures!$H:$H,Mesures!$F:$F,$A3,Mesures!$C:$C,AW$2),"")</f>
        <v/>
      </c>
      <c r="AX3" s="4">
        <f>IFERROR(AVERAGEIFS(Mesures!$H:$H,Mesures!$F:$F,$A3,Mesures!$C:$C,AX$2),"")</f>
        <v/>
      </c>
      <c r="AY3" s="4">
        <f>IFERROR(AVERAGEIFS(Mesures!$H:$H,Mesures!$F:$F,$A3,Mesures!$C:$C,AY$2),"")</f>
        <v/>
      </c>
      <c r="AZ3" s="4">
        <f>IFERROR(AVERAGEIFS(Mesures!$H:$H,Mesures!$F:$F,$A3,Mesures!$C:$C,AZ$2),"")</f>
        <v/>
      </c>
      <c r="BA3" s="4">
        <f>IFERROR(AVERAGEIFS(Mesures!$H:$H,Mesures!$F:$F,$A3,Mesures!$C:$C,BA$2),"")</f>
        <v/>
      </c>
      <c r="BB3" s="4">
        <f>IFERROR(AVERAGEIFS(Mesures!$H:$H,Mesures!$F:$F,$A3,Mesures!$C:$C,BB$2),"")</f>
        <v/>
      </c>
      <c r="BC3" s="4">
        <f>IFERROR(AVERAGEIFS(Mesures!$H:$H,Mesures!$F:$F,$A3,Mesures!$C:$C,BC$2),"")</f>
        <v/>
      </c>
      <c r="BD3" s="4">
        <f>IFERROR(AVERAGEIFS(Mesures!$H:$H,Mesures!$F:$F,$A3,Mesures!$C:$C,BD$2),"")</f>
        <v/>
      </c>
      <c r="BE3" s="4">
        <f>IFERROR(AVERAGEIFS(Mesures!$H:$H,Mesures!$F:$F,$A3,Mesures!$C:$C,BE$2),"")</f>
        <v/>
      </c>
      <c r="BF3" s="4">
        <f>IFERROR(AVERAGEIFS(Mesures!$H:$H,Mesures!$F:$F,$A3,Mesures!$C:$C,BF$2),"")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  <c r="AH4" s="4">
        <f>IFERROR(AVERAGEIFS(Mesures!$H:$H,Mesures!$F:$F,$A4,Mesures!$C:$C,AH$2),"")</f>
        <v/>
      </c>
      <c r="AI4" s="4">
        <f>IFERROR(AVERAGEIFS(Mesures!$H:$H,Mesures!$F:$F,$A4,Mesures!$C:$C,AI$2),"")</f>
        <v/>
      </c>
      <c r="AJ4" s="4">
        <f>IFERROR(AVERAGEIFS(Mesures!$H:$H,Mesures!$F:$F,$A4,Mesures!$C:$C,AJ$2),"")</f>
        <v/>
      </c>
      <c r="AK4" s="4">
        <f>IFERROR(AVERAGEIFS(Mesures!$H:$H,Mesures!$F:$F,$A4,Mesures!$C:$C,AK$2),"")</f>
        <v/>
      </c>
      <c r="AL4" s="4">
        <f>IFERROR(AVERAGEIFS(Mesures!$H:$H,Mesures!$F:$F,$A4,Mesures!$C:$C,AL$2),"")</f>
        <v/>
      </c>
      <c r="AM4" s="4">
        <f>IFERROR(AVERAGEIFS(Mesures!$H:$H,Mesures!$F:$F,$A4,Mesures!$C:$C,AM$2),"")</f>
        <v/>
      </c>
      <c r="AN4" s="4">
        <f>IFERROR(AVERAGEIFS(Mesures!$H:$H,Mesures!$F:$F,$A4,Mesures!$C:$C,AN$2),"")</f>
        <v/>
      </c>
      <c r="AO4" s="4">
        <f>IFERROR(AVERAGEIFS(Mesures!$H:$H,Mesures!$F:$F,$A4,Mesures!$C:$C,AO$2),"")</f>
        <v/>
      </c>
      <c r="AP4" s="4">
        <f>IFERROR(AVERAGEIFS(Mesures!$H:$H,Mesures!$F:$F,$A4,Mesures!$C:$C,AP$2),"")</f>
        <v/>
      </c>
      <c r="AQ4" s="4">
        <f>IFERROR(AVERAGEIFS(Mesures!$H:$H,Mesures!$F:$F,$A4,Mesures!$C:$C,AQ$2),"")</f>
        <v/>
      </c>
      <c r="AR4" s="4">
        <f>IFERROR(AVERAGEIFS(Mesures!$H:$H,Mesures!$F:$F,$A4,Mesures!$C:$C,AR$2),"")</f>
        <v/>
      </c>
      <c r="AS4" s="4">
        <f>IFERROR(AVERAGEIFS(Mesures!$H:$H,Mesures!$F:$F,$A4,Mesures!$C:$C,AS$2),"")</f>
        <v/>
      </c>
      <c r="AT4" s="4">
        <f>IFERROR(AVERAGEIFS(Mesures!$H:$H,Mesures!$F:$F,$A4,Mesures!$C:$C,AT$2),"")</f>
        <v/>
      </c>
      <c r="AU4" s="4">
        <f>IFERROR(AVERAGEIFS(Mesures!$H:$H,Mesures!$F:$F,$A4,Mesures!$C:$C,AU$2),"")</f>
        <v/>
      </c>
      <c r="AV4" s="4">
        <f>IFERROR(AVERAGEIFS(Mesures!$H:$H,Mesures!$F:$F,$A4,Mesures!$C:$C,AV$2),"")</f>
        <v/>
      </c>
      <c r="AW4" s="4">
        <f>IFERROR(AVERAGEIFS(Mesures!$H:$H,Mesures!$F:$F,$A4,Mesures!$C:$C,AW$2),"")</f>
        <v/>
      </c>
      <c r="AX4" s="4">
        <f>IFERROR(AVERAGEIFS(Mesures!$H:$H,Mesures!$F:$F,$A4,Mesures!$C:$C,AX$2),"")</f>
        <v/>
      </c>
      <c r="AY4" s="4">
        <f>IFERROR(AVERAGEIFS(Mesures!$H:$H,Mesures!$F:$F,$A4,Mesures!$C:$C,AY$2),"")</f>
        <v/>
      </c>
      <c r="AZ4" s="4">
        <f>IFERROR(AVERAGEIFS(Mesures!$H:$H,Mesures!$F:$F,$A4,Mesures!$C:$C,AZ$2),"")</f>
        <v/>
      </c>
      <c r="BA4" s="4">
        <f>IFERROR(AVERAGEIFS(Mesures!$H:$H,Mesures!$F:$F,$A4,Mesures!$C:$C,BA$2),"")</f>
        <v/>
      </c>
      <c r="BB4" s="4">
        <f>IFERROR(AVERAGEIFS(Mesures!$H:$H,Mesures!$F:$F,$A4,Mesures!$C:$C,BB$2),"")</f>
        <v/>
      </c>
      <c r="BC4" s="4">
        <f>IFERROR(AVERAGEIFS(Mesures!$H:$H,Mesures!$F:$F,$A4,Mesures!$C:$C,BC$2),"")</f>
        <v/>
      </c>
      <c r="BD4" s="4">
        <f>IFERROR(AVERAGEIFS(Mesures!$H:$H,Mesures!$F:$F,$A4,Mesures!$C:$C,BD$2),"")</f>
        <v/>
      </c>
      <c r="BE4" s="4">
        <f>IFERROR(AVERAGEIFS(Mesures!$H:$H,Mesures!$F:$F,$A4,Mesures!$C:$C,BE$2),"")</f>
        <v/>
      </c>
      <c r="BF4" s="4">
        <f>IFERROR(AVERAGEIFS(Mesures!$H:$H,Mesures!$F:$F,$A4,Mesures!$C:$C,BF$2),"")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  <c r="AH5" s="4">
        <f>IFERROR(AVERAGEIFS(Mesures!$H:$H,Mesures!$F:$F,$A5,Mesures!$C:$C,AH$2),"")</f>
        <v/>
      </c>
      <c r="AI5" s="4">
        <f>IFERROR(AVERAGEIFS(Mesures!$H:$H,Mesures!$F:$F,$A5,Mesures!$C:$C,AI$2),"")</f>
        <v/>
      </c>
      <c r="AJ5" s="4">
        <f>IFERROR(AVERAGEIFS(Mesures!$H:$H,Mesures!$F:$F,$A5,Mesures!$C:$C,AJ$2),"")</f>
        <v/>
      </c>
      <c r="AK5" s="4">
        <f>IFERROR(AVERAGEIFS(Mesures!$H:$H,Mesures!$F:$F,$A5,Mesures!$C:$C,AK$2),"")</f>
        <v/>
      </c>
      <c r="AL5" s="4">
        <f>IFERROR(AVERAGEIFS(Mesures!$H:$H,Mesures!$F:$F,$A5,Mesures!$C:$C,AL$2),"")</f>
        <v/>
      </c>
      <c r="AM5" s="4">
        <f>IFERROR(AVERAGEIFS(Mesures!$H:$H,Mesures!$F:$F,$A5,Mesures!$C:$C,AM$2),"")</f>
        <v/>
      </c>
      <c r="AN5" s="4">
        <f>IFERROR(AVERAGEIFS(Mesures!$H:$H,Mesures!$F:$F,$A5,Mesures!$C:$C,AN$2),"")</f>
        <v/>
      </c>
      <c r="AO5" s="4">
        <f>IFERROR(AVERAGEIFS(Mesures!$H:$H,Mesures!$F:$F,$A5,Mesures!$C:$C,AO$2),"")</f>
        <v/>
      </c>
      <c r="AP5" s="4">
        <f>IFERROR(AVERAGEIFS(Mesures!$H:$H,Mesures!$F:$F,$A5,Mesures!$C:$C,AP$2),"")</f>
        <v/>
      </c>
      <c r="AQ5" s="4">
        <f>IFERROR(AVERAGEIFS(Mesures!$H:$H,Mesures!$F:$F,$A5,Mesures!$C:$C,AQ$2),"")</f>
        <v/>
      </c>
      <c r="AR5" s="4">
        <f>IFERROR(AVERAGEIFS(Mesures!$H:$H,Mesures!$F:$F,$A5,Mesures!$C:$C,AR$2),"")</f>
        <v/>
      </c>
      <c r="AS5" s="4">
        <f>IFERROR(AVERAGEIFS(Mesures!$H:$H,Mesures!$F:$F,$A5,Mesures!$C:$C,AS$2),"")</f>
        <v/>
      </c>
      <c r="AT5" s="4">
        <f>IFERROR(AVERAGEIFS(Mesures!$H:$H,Mesures!$F:$F,$A5,Mesures!$C:$C,AT$2),"")</f>
        <v/>
      </c>
      <c r="AU5" s="4">
        <f>IFERROR(AVERAGEIFS(Mesures!$H:$H,Mesures!$F:$F,$A5,Mesures!$C:$C,AU$2),"")</f>
        <v/>
      </c>
      <c r="AV5" s="4">
        <f>IFERROR(AVERAGEIFS(Mesures!$H:$H,Mesures!$F:$F,$A5,Mesures!$C:$C,AV$2),"")</f>
        <v/>
      </c>
      <c r="AW5" s="4">
        <f>IFERROR(AVERAGEIFS(Mesures!$H:$H,Mesures!$F:$F,$A5,Mesures!$C:$C,AW$2),"")</f>
        <v/>
      </c>
      <c r="AX5" s="4">
        <f>IFERROR(AVERAGEIFS(Mesures!$H:$H,Mesures!$F:$F,$A5,Mesures!$C:$C,AX$2),"")</f>
        <v/>
      </c>
      <c r="AY5" s="4">
        <f>IFERROR(AVERAGEIFS(Mesures!$H:$H,Mesures!$F:$F,$A5,Mesures!$C:$C,AY$2),"")</f>
        <v/>
      </c>
      <c r="AZ5" s="4">
        <f>IFERROR(AVERAGEIFS(Mesures!$H:$H,Mesures!$F:$F,$A5,Mesures!$C:$C,AZ$2),"")</f>
        <v/>
      </c>
      <c r="BA5" s="4">
        <f>IFERROR(AVERAGEIFS(Mesures!$H:$H,Mesures!$F:$F,$A5,Mesures!$C:$C,BA$2),"")</f>
        <v/>
      </c>
      <c r="BB5" s="4">
        <f>IFERROR(AVERAGEIFS(Mesures!$H:$H,Mesures!$F:$F,$A5,Mesures!$C:$C,BB$2),"")</f>
        <v/>
      </c>
      <c r="BC5" s="4">
        <f>IFERROR(AVERAGEIFS(Mesures!$H:$H,Mesures!$F:$F,$A5,Mesures!$C:$C,BC$2),"")</f>
        <v/>
      </c>
      <c r="BD5" s="4">
        <f>IFERROR(AVERAGEIFS(Mesures!$H:$H,Mesures!$F:$F,$A5,Mesures!$C:$C,BD$2),"")</f>
        <v/>
      </c>
      <c r="BE5" s="4">
        <f>IFERROR(AVERAGEIFS(Mesures!$H:$H,Mesures!$F:$F,$A5,Mesures!$C:$C,BE$2),"")</f>
        <v/>
      </c>
      <c r="BF5" s="4">
        <f>IFERROR(AVERAGEIFS(Mesures!$H:$H,Mesures!$F:$F,$A5,Mesures!$C:$C,BF$2),"")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  <c r="AH6" s="4">
        <f>IFERROR(AVERAGEIFS(Mesures!$H:$H,Mesures!$F:$F,$A6,Mesures!$C:$C,AH$2),"")</f>
        <v/>
      </c>
      <c r="AI6" s="4">
        <f>IFERROR(AVERAGEIFS(Mesures!$H:$H,Mesures!$F:$F,$A6,Mesures!$C:$C,AI$2),"")</f>
        <v/>
      </c>
      <c r="AJ6" s="4">
        <f>IFERROR(AVERAGEIFS(Mesures!$H:$H,Mesures!$F:$F,$A6,Mesures!$C:$C,AJ$2),"")</f>
        <v/>
      </c>
      <c r="AK6" s="4">
        <f>IFERROR(AVERAGEIFS(Mesures!$H:$H,Mesures!$F:$F,$A6,Mesures!$C:$C,AK$2),"")</f>
        <v/>
      </c>
      <c r="AL6" s="4">
        <f>IFERROR(AVERAGEIFS(Mesures!$H:$H,Mesures!$F:$F,$A6,Mesures!$C:$C,AL$2),"")</f>
        <v/>
      </c>
      <c r="AM6" s="4">
        <f>IFERROR(AVERAGEIFS(Mesures!$H:$H,Mesures!$F:$F,$A6,Mesures!$C:$C,AM$2),"")</f>
        <v/>
      </c>
      <c r="AN6" s="4">
        <f>IFERROR(AVERAGEIFS(Mesures!$H:$H,Mesures!$F:$F,$A6,Mesures!$C:$C,AN$2),"")</f>
        <v/>
      </c>
      <c r="AO6" s="4">
        <f>IFERROR(AVERAGEIFS(Mesures!$H:$H,Mesures!$F:$F,$A6,Mesures!$C:$C,AO$2),"")</f>
        <v/>
      </c>
      <c r="AP6" s="4">
        <f>IFERROR(AVERAGEIFS(Mesures!$H:$H,Mesures!$F:$F,$A6,Mesures!$C:$C,AP$2),"")</f>
        <v/>
      </c>
      <c r="AQ6" s="4">
        <f>IFERROR(AVERAGEIFS(Mesures!$H:$H,Mesures!$F:$F,$A6,Mesures!$C:$C,AQ$2),"")</f>
        <v/>
      </c>
      <c r="AR6" s="4">
        <f>IFERROR(AVERAGEIFS(Mesures!$H:$H,Mesures!$F:$F,$A6,Mesures!$C:$C,AR$2),"")</f>
        <v/>
      </c>
      <c r="AS6" s="4">
        <f>IFERROR(AVERAGEIFS(Mesures!$H:$H,Mesures!$F:$F,$A6,Mesures!$C:$C,AS$2),"")</f>
        <v/>
      </c>
      <c r="AT6" s="4">
        <f>IFERROR(AVERAGEIFS(Mesures!$H:$H,Mesures!$F:$F,$A6,Mesures!$C:$C,AT$2),"")</f>
        <v/>
      </c>
      <c r="AU6" s="4">
        <f>IFERROR(AVERAGEIFS(Mesures!$H:$H,Mesures!$F:$F,$A6,Mesures!$C:$C,AU$2),"")</f>
        <v/>
      </c>
      <c r="AV6" s="4">
        <f>IFERROR(AVERAGEIFS(Mesures!$H:$H,Mesures!$F:$F,$A6,Mesures!$C:$C,AV$2),"")</f>
        <v/>
      </c>
      <c r="AW6" s="4">
        <f>IFERROR(AVERAGEIFS(Mesures!$H:$H,Mesures!$F:$F,$A6,Mesures!$C:$C,AW$2),"")</f>
        <v/>
      </c>
      <c r="AX6" s="4">
        <f>IFERROR(AVERAGEIFS(Mesures!$H:$H,Mesures!$F:$F,$A6,Mesures!$C:$C,AX$2),"")</f>
        <v/>
      </c>
      <c r="AY6" s="4">
        <f>IFERROR(AVERAGEIFS(Mesures!$H:$H,Mesures!$F:$F,$A6,Mesures!$C:$C,AY$2),"")</f>
        <v/>
      </c>
      <c r="AZ6" s="4">
        <f>IFERROR(AVERAGEIFS(Mesures!$H:$H,Mesures!$F:$F,$A6,Mesures!$C:$C,AZ$2),"")</f>
        <v/>
      </c>
      <c r="BA6" s="4">
        <f>IFERROR(AVERAGEIFS(Mesures!$H:$H,Mesures!$F:$F,$A6,Mesures!$C:$C,BA$2),"")</f>
        <v/>
      </c>
      <c r="BB6" s="4">
        <f>IFERROR(AVERAGEIFS(Mesures!$H:$H,Mesures!$F:$F,$A6,Mesures!$C:$C,BB$2),"")</f>
        <v/>
      </c>
      <c r="BC6" s="4">
        <f>IFERROR(AVERAGEIFS(Mesures!$H:$H,Mesures!$F:$F,$A6,Mesures!$C:$C,BC$2),"")</f>
        <v/>
      </c>
      <c r="BD6" s="4">
        <f>IFERROR(AVERAGEIFS(Mesures!$H:$H,Mesures!$F:$F,$A6,Mesures!$C:$C,BD$2),"")</f>
        <v/>
      </c>
      <c r="BE6" s="4">
        <f>IFERROR(AVERAGEIFS(Mesures!$H:$H,Mesures!$F:$F,$A6,Mesures!$C:$C,BE$2),"")</f>
        <v/>
      </c>
      <c r="BF6" s="4">
        <f>IFERROR(AVERAGEIFS(Mesures!$H:$H,Mesures!$F:$F,$A6,Mesures!$C:$C,BF$2),"")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  <c r="AH7" s="4">
        <f>IFERROR(AVERAGEIFS(Mesures!$H:$H,Mesures!$F:$F,$A7,Mesures!$C:$C,AH$2),"")</f>
        <v/>
      </c>
      <c r="AI7" s="4">
        <f>IFERROR(AVERAGEIFS(Mesures!$H:$H,Mesures!$F:$F,$A7,Mesures!$C:$C,AI$2),"")</f>
        <v/>
      </c>
      <c r="AJ7" s="4">
        <f>IFERROR(AVERAGEIFS(Mesures!$H:$H,Mesures!$F:$F,$A7,Mesures!$C:$C,AJ$2),"")</f>
        <v/>
      </c>
      <c r="AK7" s="4">
        <f>IFERROR(AVERAGEIFS(Mesures!$H:$H,Mesures!$F:$F,$A7,Mesures!$C:$C,AK$2),"")</f>
        <v/>
      </c>
      <c r="AL7" s="4">
        <f>IFERROR(AVERAGEIFS(Mesures!$H:$H,Mesures!$F:$F,$A7,Mesures!$C:$C,AL$2),"")</f>
        <v/>
      </c>
      <c r="AM7" s="4">
        <f>IFERROR(AVERAGEIFS(Mesures!$H:$H,Mesures!$F:$F,$A7,Mesures!$C:$C,AM$2),"")</f>
        <v/>
      </c>
      <c r="AN7" s="4">
        <f>IFERROR(AVERAGEIFS(Mesures!$H:$H,Mesures!$F:$F,$A7,Mesures!$C:$C,AN$2),"")</f>
        <v/>
      </c>
      <c r="AO7" s="4">
        <f>IFERROR(AVERAGEIFS(Mesures!$H:$H,Mesures!$F:$F,$A7,Mesures!$C:$C,AO$2),"")</f>
        <v/>
      </c>
      <c r="AP7" s="4">
        <f>IFERROR(AVERAGEIFS(Mesures!$H:$H,Mesures!$F:$F,$A7,Mesures!$C:$C,AP$2),"")</f>
        <v/>
      </c>
      <c r="AQ7" s="4">
        <f>IFERROR(AVERAGEIFS(Mesures!$H:$H,Mesures!$F:$F,$A7,Mesures!$C:$C,AQ$2),"")</f>
        <v/>
      </c>
      <c r="AR7" s="4">
        <f>IFERROR(AVERAGEIFS(Mesures!$H:$H,Mesures!$F:$F,$A7,Mesures!$C:$C,AR$2),"")</f>
        <v/>
      </c>
      <c r="AS7" s="4">
        <f>IFERROR(AVERAGEIFS(Mesures!$H:$H,Mesures!$F:$F,$A7,Mesures!$C:$C,AS$2),"")</f>
        <v/>
      </c>
      <c r="AT7" s="4">
        <f>IFERROR(AVERAGEIFS(Mesures!$H:$H,Mesures!$F:$F,$A7,Mesures!$C:$C,AT$2),"")</f>
        <v/>
      </c>
      <c r="AU7" s="4">
        <f>IFERROR(AVERAGEIFS(Mesures!$H:$H,Mesures!$F:$F,$A7,Mesures!$C:$C,AU$2),"")</f>
        <v/>
      </c>
      <c r="AV7" s="4">
        <f>IFERROR(AVERAGEIFS(Mesures!$H:$H,Mesures!$F:$F,$A7,Mesures!$C:$C,AV$2),"")</f>
        <v/>
      </c>
      <c r="AW7" s="4">
        <f>IFERROR(AVERAGEIFS(Mesures!$H:$H,Mesures!$F:$F,$A7,Mesures!$C:$C,AW$2),"")</f>
        <v/>
      </c>
      <c r="AX7" s="4">
        <f>IFERROR(AVERAGEIFS(Mesures!$H:$H,Mesures!$F:$F,$A7,Mesures!$C:$C,AX$2),"")</f>
        <v/>
      </c>
      <c r="AY7" s="4">
        <f>IFERROR(AVERAGEIFS(Mesures!$H:$H,Mesures!$F:$F,$A7,Mesures!$C:$C,AY$2),"")</f>
        <v/>
      </c>
      <c r="AZ7" s="4">
        <f>IFERROR(AVERAGEIFS(Mesures!$H:$H,Mesures!$F:$F,$A7,Mesures!$C:$C,AZ$2),"")</f>
        <v/>
      </c>
      <c r="BA7" s="4">
        <f>IFERROR(AVERAGEIFS(Mesures!$H:$H,Mesures!$F:$F,$A7,Mesures!$C:$C,BA$2),"")</f>
        <v/>
      </c>
      <c r="BB7" s="4">
        <f>IFERROR(AVERAGEIFS(Mesures!$H:$H,Mesures!$F:$F,$A7,Mesures!$C:$C,BB$2),"")</f>
        <v/>
      </c>
      <c r="BC7" s="4">
        <f>IFERROR(AVERAGEIFS(Mesures!$H:$H,Mesures!$F:$F,$A7,Mesures!$C:$C,BC$2),"")</f>
        <v/>
      </c>
      <c r="BD7" s="4">
        <f>IFERROR(AVERAGEIFS(Mesures!$H:$H,Mesures!$F:$F,$A7,Mesures!$C:$C,BD$2),"")</f>
        <v/>
      </c>
      <c r="BE7" s="4">
        <f>IFERROR(AVERAGEIFS(Mesures!$H:$H,Mesures!$F:$F,$A7,Mesures!$C:$C,BE$2),"")</f>
        <v/>
      </c>
      <c r="BF7" s="4">
        <f>IFERROR(AVERAGEIFS(Mesures!$H:$H,Mesures!$F:$F,$A7,Mesures!$C:$C,BF$2),"")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  <c r="AH8" s="4">
        <f>IFERROR(AVERAGEIFS(Mesures!$H:$H,Mesures!$F:$F,$A8,Mesures!$C:$C,AH$2),"")</f>
        <v/>
      </c>
      <c r="AI8" s="4">
        <f>IFERROR(AVERAGEIFS(Mesures!$H:$H,Mesures!$F:$F,$A8,Mesures!$C:$C,AI$2),"")</f>
        <v/>
      </c>
      <c r="AJ8" s="4">
        <f>IFERROR(AVERAGEIFS(Mesures!$H:$H,Mesures!$F:$F,$A8,Mesures!$C:$C,AJ$2),"")</f>
        <v/>
      </c>
      <c r="AK8" s="4">
        <f>IFERROR(AVERAGEIFS(Mesures!$H:$H,Mesures!$F:$F,$A8,Mesures!$C:$C,AK$2),"")</f>
        <v/>
      </c>
      <c r="AL8" s="4">
        <f>IFERROR(AVERAGEIFS(Mesures!$H:$H,Mesures!$F:$F,$A8,Mesures!$C:$C,AL$2),"")</f>
        <v/>
      </c>
      <c r="AM8" s="4">
        <f>IFERROR(AVERAGEIFS(Mesures!$H:$H,Mesures!$F:$F,$A8,Mesures!$C:$C,AM$2),"")</f>
        <v/>
      </c>
      <c r="AN8" s="4">
        <f>IFERROR(AVERAGEIFS(Mesures!$H:$H,Mesures!$F:$F,$A8,Mesures!$C:$C,AN$2),"")</f>
        <v/>
      </c>
      <c r="AO8" s="4">
        <f>IFERROR(AVERAGEIFS(Mesures!$H:$H,Mesures!$F:$F,$A8,Mesures!$C:$C,AO$2),"")</f>
        <v/>
      </c>
      <c r="AP8" s="4">
        <f>IFERROR(AVERAGEIFS(Mesures!$H:$H,Mesures!$F:$F,$A8,Mesures!$C:$C,AP$2),"")</f>
        <v/>
      </c>
      <c r="AQ8" s="4">
        <f>IFERROR(AVERAGEIFS(Mesures!$H:$H,Mesures!$F:$F,$A8,Mesures!$C:$C,AQ$2),"")</f>
        <v/>
      </c>
      <c r="AR8" s="4">
        <f>IFERROR(AVERAGEIFS(Mesures!$H:$H,Mesures!$F:$F,$A8,Mesures!$C:$C,AR$2),"")</f>
        <v/>
      </c>
      <c r="AS8" s="4">
        <f>IFERROR(AVERAGEIFS(Mesures!$H:$H,Mesures!$F:$F,$A8,Mesures!$C:$C,AS$2),"")</f>
        <v/>
      </c>
      <c r="AT8" s="4">
        <f>IFERROR(AVERAGEIFS(Mesures!$H:$H,Mesures!$F:$F,$A8,Mesures!$C:$C,AT$2),"")</f>
        <v/>
      </c>
      <c r="AU8" s="4">
        <f>IFERROR(AVERAGEIFS(Mesures!$H:$H,Mesures!$F:$F,$A8,Mesures!$C:$C,AU$2),"")</f>
        <v/>
      </c>
      <c r="AV8" s="4">
        <f>IFERROR(AVERAGEIFS(Mesures!$H:$H,Mesures!$F:$F,$A8,Mesures!$C:$C,AV$2),"")</f>
        <v/>
      </c>
      <c r="AW8" s="4">
        <f>IFERROR(AVERAGEIFS(Mesures!$H:$H,Mesures!$F:$F,$A8,Mesures!$C:$C,AW$2),"")</f>
        <v/>
      </c>
      <c r="AX8" s="4">
        <f>IFERROR(AVERAGEIFS(Mesures!$H:$H,Mesures!$F:$F,$A8,Mesures!$C:$C,AX$2),"")</f>
        <v/>
      </c>
      <c r="AY8" s="4">
        <f>IFERROR(AVERAGEIFS(Mesures!$H:$H,Mesures!$F:$F,$A8,Mesures!$C:$C,AY$2),"")</f>
        <v/>
      </c>
      <c r="AZ8" s="4">
        <f>IFERROR(AVERAGEIFS(Mesures!$H:$H,Mesures!$F:$F,$A8,Mesures!$C:$C,AZ$2),"")</f>
        <v/>
      </c>
      <c r="BA8" s="4">
        <f>IFERROR(AVERAGEIFS(Mesures!$H:$H,Mesures!$F:$F,$A8,Mesures!$C:$C,BA$2),"")</f>
        <v/>
      </c>
      <c r="BB8" s="4">
        <f>IFERROR(AVERAGEIFS(Mesures!$H:$H,Mesures!$F:$F,$A8,Mesures!$C:$C,BB$2),"")</f>
        <v/>
      </c>
      <c r="BC8" s="4">
        <f>IFERROR(AVERAGEIFS(Mesures!$H:$H,Mesures!$F:$F,$A8,Mesures!$C:$C,BC$2),"")</f>
        <v/>
      </c>
      <c r="BD8" s="4">
        <f>IFERROR(AVERAGEIFS(Mesures!$H:$H,Mesures!$F:$F,$A8,Mesures!$C:$C,BD$2),"")</f>
        <v/>
      </c>
      <c r="BE8" s="4">
        <f>IFERROR(AVERAGEIFS(Mesures!$H:$H,Mesures!$F:$F,$A8,Mesures!$C:$C,BE$2),"")</f>
        <v/>
      </c>
      <c r="BF8" s="4">
        <f>IFERROR(AVERAGEIFS(Mesures!$H:$H,Mesures!$F:$F,$A8,Mesures!$C:$C,BF$2),"")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  <c r="AH9" s="4">
        <f>IFERROR(AVERAGEIFS(Mesures!$H:$H,Mesures!$F:$F,$A9,Mesures!$C:$C,AH$2),"")</f>
        <v/>
      </c>
      <c r="AI9" s="4">
        <f>IFERROR(AVERAGEIFS(Mesures!$H:$H,Mesures!$F:$F,$A9,Mesures!$C:$C,AI$2),"")</f>
        <v/>
      </c>
      <c r="AJ9" s="4">
        <f>IFERROR(AVERAGEIFS(Mesures!$H:$H,Mesures!$F:$F,$A9,Mesures!$C:$C,AJ$2),"")</f>
        <v/>
      </c>
      <c r="AK9" s="4">
        <f>IFERROR(AVERAGEIFS(Mesures!$H:$H,Mesures!$F:$F,$A9,Mesures!$C:$C,AK$2),"")</f>
        <v/>
      </c>
      <c r="AL9" s="4">
        <f>IFERROR(AVERAGEIFS(Mesures!$H:$H,Mesures!$F:$F,$A9,Mesures!$C:$C,AL$2),"")</f>
        <v/>
      </c>
      <c r="AM9" s="4">
        <f>IFERROR(AVERAGEIFS(Mesures!$H:$H,Mesures!$F:$F,$A9,Mesures!$C:$C,AM$2),"")</f>
        <v/>
      </c>
      <c r="AN9" s="4">
        <f>IFERROR(AVERAGEIFS(Mesures!$H:$H,Mesures!$F:$F,$A9,Mesures!$C:$C,AN$2),"")</f>
        <v/>
      </c>
      <c r="AO9" s="4">
        <f>IFERROR(AVERAGEIFS(Mesures!$H:$H,Mesures!$F:$F,$A9,Mesures!$C:$C,AO$2),"")</f>
        <v/>
      </c>
      <c r="AP9" s="4">
        <f>IFERROR(AVERAGEIFS(Mesures!$H:$H,Mesures!$F:$F,$A9,Mesures!$C:$C,AP$2),"")</f>
        <v/>
      </c>
      <c r="AQ9" s="4">
        <f>IFERROR(AVERAGEIFS(Mesures!$H:$H,Mesures!$F:$F,$A9,Mesures!$C:$C,AQ$2),"")</f>
        <v/>
      </c>
      <c r="AR9" s="4">
        <f>IFERROR(AVERAGEIFS(Mesures!$H:$H,Mesures!$F:$F,$A9,Mesures!$C:$C,AR$2),"")</f>
        <v/>
      </c>
      <c r="AS9" s="4">
        <f>IFERROR(AVERAGEIFS(Mesures!$H:$H,Mesures!$F:$F,$A9,Mesures!$C:$C,AS$2),"")</f>
        <v/>
      </c>
      <c r="AT9" s="4">
        <f>IFERROR(AVERAGEIFS(Mesures!$H:$H,Mesures!$F:$F,$A9,Mesures!$C:$C,AT$2),"")</f>
        <v/>
      </c>
      <c r="AU9" s="4">
        <f>IFERROR(AVERAGEIFS(Mesures!$H:$H,Mesures!$F:$F,$A9,Mesures!$C:$C,AU$2),"")</f>
        <v/>
      </c>
      <c r="AV9" s="4">
        <f>IFERROR(AVERAGEIFS(Mesures!$H:$H,Mesures!$F:$F,$A9,Mesures!$C:$C,AV$2),"")</f>
        <v/>
      </c>
      <c r="AW9" s="4">
        <f>IFERROR(AVERAGEIFS(Mesures!$H:$H,Mesures!$F:$F,$A9,Mesures!$C:$C,AW$2),"")</f>
        <v/>
      </c>
      <c r="AX9" s="4">
        <f>IFERROR(AVERAGEIFS(Mesures!$H:$H,Mesures!$F:$F,$A9,Mesures!$C:$C,AX$2),"")</f>
        <v/>
      </c>
      <c r="AY9" s="4">
        <f>IFERROR(AVERAGEIFS(Mesures!$H:$H,Mesures!$F:$F,$A9,Mesures!$C:$C,AY$2),"")</f>
        <v/>
      </c>
      <c r="AZ9" s="4">
        <f>IFERROR(AVERAGEIFS(Mesures!$H:$H,Mesures!$F:$F,$A9,Mesures!$C:$C,AZ$2),"")</f>
        <v/>
      </c>
      <c r="BA9" s="4">
        <f>IFERROR(AVERAGEIFS(Mesures!$H:$H,Mesures!$F:$F,$A9,Mesures!$C:$C,BA$2),"")</f>
        <v/>
      </c>
      <c r="BB9" s="4">
        <f>IFERROR(AVERAGEIFS(Mesures!$H:$H,Mesures!$F:$F,$A9,Mesures!$C:$C,BB$2),"")</f>
        <v/>
      </c>
      <c r="BC9" s="4">
        <f>IFERROR(AVERAGEIFS(Mesures!$H:$H,Mesures!$F:$F,$A9,Mesures!$C:$C,BC$2),"")</f>
        <v/>
      </c>
      <c r="BD9" s="4">
        <f>IFERROR(AVERAGEIFS(Mesures!$H:$H,Mesures!$F:$F,$A9,Mesures!$C:$C,BD$2),"")</f>
        <v/>
      </c>
      <c r="BE9" s="4">
        <f>IFERROR(AVERAGEIFS(Mesures!$H:$H,Mesures!$F:$F,$A9,Mesures!$C:$C,BE$2),"")</f>
        <v/>
      </c>
      <c r="BF9" s="4">
        <f>IFERROR(AVERAGEIFS(Mesures!$H:$H,Mesures!$F:$F,$A9,Mesures!$C:$C,BF$2),"")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  <c r="AH10" s="4">
        <f>IFERROR(AVERAGEIFS(Mesures!$H:$H,Mesures!$F:$F,$A10,Mesures!$C:$C,AH$2),"")</f>
        <v/>
      </c>
      <c r="AI10" s="4">
        <f>IFERROR(AVERAGEIFS(Mesures!$H:$H,Mesures!$F:$F,$A10,Mesures!$C:$C,AI$2),"")</f>
        <v/>
      </c>
      <c r="AJ10" s="4">
        <f>IFERROR(AVERAGEIFS(Mesures!$H:$H,Mesures!$F:$F,$A10,Mesures!$C:$C,AJ$2),"")</f>
        <v/>
      </c>
      <c r="AK10" s="4">
        <f>IFERROR(AVERAGEIFS(Mesures!$H:$H,Mesures!$F:$F,$A10,Mesures!$C:$C,AK$2),"")</f>
        <v/>
      </c>
      <c r="AL10" s="4">
        <f>IFERROR(AVERAGEIFS(Mesures!$H:$H,Mesures!$F:$F,$A10,Mesures!$C:$C,AL$2),"")</f>
        <v/>
      </c>
      <c r="AM10" s="4">
        <f>IFERROR(AVERAGEIFS(Mesures!$H:$H,Mesures!$F:$F,$A10,Mesures!$C:$C,AM$2),"")</f>
        <v/>
      </c>
      <c r="AN10" s="4">
        <f>IFERROR(AVERAGEIFS(Mesures!$H:$H,Mesures!$F:$F,$A10,Mesures!$C:$C,AN$2),"")</f>
        <v/>
      </c>
      <c r="AO10" s="4">
        <f>IFERROR(AVERAGEIFS(Mesures!$H:$H,Mesures!$F:$F,$A10,Mesures!$C:$C,AO$2),"")</f>
        <v/>
      </c>
      <c r="AP10" s="4">
        <f>IFERROR(AVERAGEIFS(Mesures!$H:$H,Mesures!$F:$F,$A10,Mesures!$C:$C,AP$2),"")</f>
        <v/>
      </c>
      <c r="AQ10" s="4">
        <f>IFERROR(AVERAGEIFS(Mesures!$H:$H,Mesures!$F:$F,$A10,Mesures!$C:$C,AQ$2),"")</f>
        <v/>
      </c>
      <c r="AR10" s="4">
        <f>IFERROR(AVERAGEIFS(Mesures!$H:$H,Mesures!$F:$F,$A10,Mesures!$C:$C,AR$2),"")</f>
        <v/>
      </c>
      <c r="AS10" s="4">
        <f>IFERROR(AVERAGEIFS(Mesures!$H:$H,Mesures!$F:$F,$A10,Mesures!$C:$C,AS$2),"")</f>
        <v/>
      </c>
      <c r="AT10" s="4">
        <f>IFERROR(AVERAGEIFS(Mesures!$H:$H,Mesures!$F:$F,$A10,Mesures!$C:$C,AT$2),"")</f>
        <v/>
      </c>
      <c r="AU10" s="4">
        <f>IFERROR(AVERAGEIFS(Mesures!$H:$H,Mesures!$F:$F,$A10,Mesures!$C:$C,AU$2),"")</f>
        <v/>
      </c>
      <c r="AV10" s="4">
        <f>IFERROR(AVERAGEIFS(Mesures!$H:$H,Mesures!$F:$F,$A10,Mesures!$C:$C,AV$2),"")</f>
        <v/>
      </c>
      <c r="AW10" s="4">
        <f>IFERROR(AVERAGEIFS(Mesures!$H:$H,Mesures!$F:$F,$A10,Mesures!$C:$C,AW$2),"")</f>
        <v/>
      </c>
      <c r="AX10" s="4">
        <f>IFERROR(AVERAGEIFS(Mesures!$H:$H,Mesures!$F:$F,$A10,Mesures!$C:$C,AX$2),"")</f>
        <v/>
      </c>
      <c r="AY10" s="4">
        <f>IFERROR(AVERAGEIFS(Mesures!$H:$H,Mesures!$F:$F,$A10,Mesures!$C:$C,AY$2),"")</f>
        <v/>
      </c>
      <c r="AZ10" s="4">
        <f>IFERROR(AVERAGEIFS(Mesures!$H:$H,Mesures!$F:$F,$A10,Mesures!$C:$C,AZ$2),"")</f>
        <v/>
      </c>
      <c r="BA10" s="4">
        <f>IFERROR(AVERAGEIFS(Mesures!$H:$H,Mesures!$F:$F,$A10,Mesures!$C:$C,BA$2),"")</f>
        <v/>
      </c>
      <c r="BB10" s="4">
        <f>IFERROR(AVERAGEIFS(Mesures!$H:$H,Mesures!$F:$F,$A10,Mesures!$C:$C,BB$2),"")</f>
        <v/>
      </c>
      <c r="BC10" s="4">
        <f>IFERROR(AVERAGEIFS(Mesures!$H:$H,Mesures!$F:$F,$A10,Mesures!$C:$C,BC$2),"")</f>
        <v/>
      </c>
      <c r="BD10" s="4">
        <f>IFERROR(AVERAGEIFS(Mesures!$H:$H,Mesures!$F:$F,$A10,Mesures!$C:$C,BD$2),"")</f>
        <v/>
      </c>
      <c r="BE10" s="4">
        <f>IFERROR(AVERAGEIFS(Mesures!$H:$H,Mesures!$F:$F,$A10,Mesures!$C:$C,BE$2),"")</f>
        <v/>
      </c>
      <c r="BF10" s="4">
        <f>IFERROR(AVERAGEIFS(Mesures!$H:$H,Mesures!$F:$F,$A10,Mesures!$C:$C,BF$2),"")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  <c r="AH11" s="4">
        <f>IFERROR(AVERAGEIFS(Mesures!$H:$H,Mesures!$F:$F,$A11,Mesures!$C:$C,AH$2),"")</f>
        <v/>
      </c>
      <c r="AI11" s="4">
        <f>IFERROR(AVERAGEIFS(Mesures!$H:$H,Mesures!$F:$F,$A11,Mesures!$C:$C,AI$2),"")</f>
        <v/>
      </c>
      <c r="AJ11" s="4">
        <f>IFERROR(AVERAGEIFS(Mesures!$H:$H,Mesures!$F:$F,$A11,Mesures!$C:$C,AJ$2),"")</f>
        <v/>
      </c>
      <c r="AK11" s="4">
        <f>IFERROR(AVERAGEIFS(Mesures!$H:$H,Mesures!$F:$F,$A11,Mesures!$C:$C,AK$2),"")</f>
        <v/>
      </c>
      <c r="AL11" s="4">
        <f>IFERROR(AVERAGEIFS(Mesures!$H:$H,Mesures!$F:$F,$A11,Mesures!$C:$C,AL$2),"")</f>
        <v/>
      </c>
      <c r="AM11" s="4">
        <f>IFERROR(AVERAGEIFS(Mesures!$H:$H,Mesures!$F:$F,$A11,Mesures!$C:$C,AM$2),"")</f>
        <v/>
      </c>
      <c r="AN11" s="4">
        <f>IFERROR(AVERAGEIFS(Mesures!$H:$H,Mesures!$F:$F,$A11,Mesures!$C:$C,AN$2),"")</f>
        <v/>
      </c>
      <c r="AO11" s="4">
        <f>IFERROR(AVERAGEIFS(Mesures!$H:$H,Mesures!$F:$F,$A11,Mesures!$C:$C,AO$2),"")</f>
        <v/>
      </c>
      <c r="AP11" s="4">
        <f>IFERROR(AVERAGEIFS(Mesures!$H:$H,Mesures!$F:$F,$A11,Mesures!$C:$C,AP$2),"")</f>
        <v/>
      </c>
      <c r="AQ11" s="4">
        <f>IFERROR(AVERAGEIFS(Mesures!$H:$H,Mesures!$F:$F,$A11,Mesures!$C:$C,AQ$2),"")</f>
        <v/>
      </c>
      <c r="AR11" s="4">
        <f>IFERROR(AVERAGEIFS(Mesures!$H:$H,Mesures!$F:$F,$A11,Mesures!$C:$C,AR$2),"")</f>
        <v/>
      </c>
      <c r="AS11" s="4">
        <f>IFERROR(AVERAGEIFS(Mesures!$H:$H,Mesures!$F:$F,$A11,Mesures!$C:$C,AS$2),"")</f>
        <v/>
      </c>
      <c r="AT11" s="4">
        <f>IFERROR(AVERAGEIFS(Mesures!$H:$H,Mesures!$F:$F,$A11,Mesures!$C:$C,AT$2),"")</f>
        <v/>
      </c>
      <c r="AU11" s="4">
        <f>IFERROR(AVERAGEIFS(Mesures!$H:$H,Mesures!$F:$F,$A11,Mesures!$C:$C,AU$2),"")</f>
        <v/>
      </c>
      <c r="AV11" s="4">
        <f>IFERROR(AVERAGEIFS(Mesures!$H:$H,Mesures!$F:$F,$A11,Mesures!$C:$C,AV$2),"")</f>
        <v/>
      </c>
      <c r="AW11" s="4">
        <f>IFERROR(AVERAGEIFS(Mesures!$H:$H,Mesures!$F:$F,$A11,Mesures!$C:$C,AW$2),"")</f>
        <v/>
      </c>
      <c r="AX11" s="4">
        <f>IFERROR(AVERAGEIFS(Mesures!$H:$H,Mesures!$F:$F,$A11,Mesures!$C:$C,AX$2),"")</f>
        <v/>
      </c>
      <c r="AY11" s="4">
        <f>IFERROR(AVERAGEIFS(Mesures!$H:$H,Mesures!$F:$F,$A11,Mesures!$C:$C,AY$2),"")</f>
        <v/>
      </c>
      <c r="AZ11" s="4">
        <f>IFERROR(AVERAGEIFS(Mesures!$H:$H,Mesures!$F:$F,$A11,Mesures!$C:$C,AZ$2),"")</f>
        <v/>
      </c>
      <c r="BA11" s="4">
        <f>IFERROR(AVERAGEIFS(Mesures!$H:$H,Mesures!$F:$F,$A11,Mesures!$C:$C,BA$2),"")</f>
        <v/>
      </c>
      <c r="BB11" s="4">
        <f>IFERROR(AVERAGEIFS(Mesures!$H:$H,Mesures!$F:$F,$A11,Mesures!$C:$C,BB$2),"")</f>
        <v/>
      </c>
      <c r="BC11" s="4">
        <f>IFERROR(AVERAGEIFS(Mesures!$H:$H,Mesures!$F:$F,$A11,Mesures!$C:$C,BC$2),"")</f>
        <v/>
      </c>
      <c r="BD11" s="4">
        <f>IFERROR(AVERAGEIFS(Mesures!$H:$H,Mesures!$F:$F,$A11,Mesures!$C:$C,BD$2),"")</f>
        <v/>
      </c>
      <c r="BE11" s="4">
        <f>IFERROR(AVERAGEIFS(Mesures!$H:$H,Mesures!$F:$F,$A11,Mesures!$C:$C,BE$2),"")</f>
        <v/>
      </c>
      <c r="BF11" s="4">
        <f>IFERROR(AVERAGEIFS(Mesures!$H:$H,Mesures!$F:$F,$A11,Mesures!$C:$C,BF$2),"")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  <c r="AH12" s="4">
        <f>IFERROR(AVERAGEIFS(Mesures!$H:$H,Mesures!$F:$F,$A12,Mesures!$C:$C,AH$2),"")</f>
        <v/>
      </c>
      <c r="AI12" s="4">
        <f>IFERROR(AVERAGEIFS(Mesures!$H:$H,Mesures!$F:$F,$A12,Mesures!$C:$C,AI$2),"")</f>
        <v/>
      </c>
      <c r="AJ12" s="4">
        <f>IFERROR(AVERAGEIFS(Mesures!$H:$H,Mesures!$F:$F,$A12,Mesures!$C:$C,AJ$2),"")</f>
        <v/>
      </c>
      <c r="AK12" s="4">
        <f>IFERROR(AVERAGEIFS(Mesures!$H:$H,Mesures!$F:$F,$A12,Mesures!$C:$C,AK$2),"")</f>
        <v/>
      </c>
      <c r="AL12" s="4">
        <f>IFERROR(AVERAGEIFS(Mesures!$H:$H,Mesures!$F:$F,$A12,Mesures!$C:$C,AL$2),"")</f>
        <v/>
      </c>
      <c r="AM12" s="4">
        <f>IFERROR(AVERAGEIFS(Mesures!$H:$H,Mesures!$F:$F,$A12,Mesures!$C:$C,AM$2),"")</f>
        <v/>
      </c>
      <c r="AN12" s="4">
        <f>IFERROR(AVERAGEIFS(Mesures!$H:$H,Mesures!$F:$F,$A12,Mesures!$C:$C,AN$2),"")</f>
        <v/>
      </c>
      <c r="AO12" s="4">
        <f>IFERROR(AVERAGEIFS(Mesures!$H:$H,Mesures!$F:$F,$A12,Mesures!$C:$C,AO$2),"")</f>
        <v/>
      </c>
      <c r="AP12" s="4">
        <f>IFERROR(AVERAGEIFS(Mesures!$H:$H,Mesures!$F:$F,$A12,Mesures!$C:$C,AP$2),"")</f>
        <v/>
      </c>
      <c r="AQ12" s="4">
        <f>IFERROR(AVERAGEIFS(Mesures!$H:$H,Mesures!$F:$F,$A12,Mesures!$C:$C,AQ$2),"")</f>
        <v/>
      </c>
      <c r="AR12" s="4">
        <f>IFERROR(AVERAGEIFS(Mesures!$H:$H,Mesures!$F:$F,$A12,Mesures!$C:$C,AR$2),"")</f>
        <v/>
      </c>
      <c r="AS12" s="4">
        <f>IFERROR(AVERAGEIFS(Mesures!$H:$H,Mesures!$F:$F,$A12,Mesures!$C:$C,AS$2),"")</f>
        <v/>
      </c>
      <c r="AT12" s="4">
        <f>IFERROR(AVERAGEIFS(Mesures!$H:$H,Mesures!$F:$F,$A12,Mesures!$C:$C,AT$2),"")</f>
        <v/>
      </c>
      <c r="AU12" s="4">
        <f>IFERROR(AVERAGEIFS(Mesures!$H:$H,Mesures!$F:$F,$A12,Mesures!$C:$C,AU$2),"")</f>
        <v/>
      </c>
      <c r="AV12" s="4">
        <f>IFERROR(AVERAGEIFS(Mesures!$H:$H,Mesures!$F:$F,$A12,Mesures!$C:$C,AV$2),"")</f>
        <v/>
      </c>
      <c r="AW12" s="4">
        <f>IFERROR(AVERAGEIFS(Mesures!$H:$H,Mesures!$F:$F,$A12,Mesures!$C:$C,AW$2),"")</f>
        <v/>
      </c>
      <c r="AX12" s="4">
        <f>IFERROR(AVERAGEIFS(Mesures!$H:$H,Mesures!$F:$F,$A12,Mesures!$C:$C,AX$2),"")</f>
        <v/>
      </c>
      <c r="AY12" s="4">
        <f>IFERROR(AVERAGEIFS(Mesures!$H:$H,Mesures!$F:$F,$A12,Mesures!$C:$C,AY$2),"")</f>
        <v/>
      </c>
      <c r="AZ12" s="4">
        <f>IFERROR(AVERAGEIFS(Mesures!$H:$H,Mesures!$F:$F,$A12,Mesures!$C:$C,AZ$2),"")</f>
        <v/>
      </c>
      <c r="BA12" s="4">
        <f>IFERROR(AVERAGEIFS(Mesures!$H:$H,Mesures!$F:$F,$A12,Mesures!$C:$C,BA$2),"")</f>
        <v/>
      </c>
      <c r="BB12" s="4">
        <f>IFERROR(AVERAGEIFS(Mesures!$H:$H,Mesures!$F:$F,$A12,Mesures!$C:$C,BB$2),"")</f>
        <v/>
      </c>
      <c r="BC12" s="4">
        <f>IFERROR(AVERAGEIFS(Mesures!$H:$H,Mesures!$F:$F,$A12,Mesures!$C:$C,BC$2),"")</f>
        <v/>
      </c>
      <c r="BD12" s="4">
        <f>IFERROR(AVERAGEIFS(Mesures!$H:$H,Mesures!$F:$F,$A12,Mesures!$C:$C,BD$2),"")</f>
        <v/>
      </c>
      <c r="BE12" s="4">
        <f>IFERROR(AVERAGEIFS(Mesures!$H:$H,Mesures!$F:$F,$A12,Mesures!$C:$C,BE$2),"")</f>
        <v/>
      </c>
      <c r="BF12" s="4">
        <f>IFERROR(AVERAGEIFS(Mesures!$H:$H,Mesures!$F:$F,$A12,Mesures!$C:$C,BF$2),"")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  <c r="AH13" s="4">
        <f>IFERROR(AVERAGEIFS(Mesures!$H:$H,Mesures!$F:$F,$A13,Mesures!$C:$C,AH$2),"")</f>
        <v/>
      </c>
      <c r="AI13" s="4">
        <f>IFERROR(AVERAGEIFS(Mesures!$H:$H,Mesures!$F:$F,$A13,Mesures!$C:$C,AI$2),"")</f>
        <v/>
      </c>
      <c r="AJ13" s="4">
        <f>IFERROR(AVERAGEIFS(Mesures!$H:$H,Mesures!$F:$F,$A13,Mesures!$C:$C,AJ$2),"")</f>
        <v/>
      </c>
      <c r="AK13" s="4">
        <f>IFERROR(AVERAGEIFS(Mesures!$H:$H,Mesures!$F:$F,$A13,Mesures!$C:$C,AK$2),"")</f>
        <v/>
      </c>
      <c r="AL13" s="4">
        <f>IFERROR(AVERAGEIFS(Mesures!$H:$H,Mesures!$F:$F,$A13,Mesures!$C:$C,AL$2),"")</f>
        <v/>
      </c>
      <c r="AM13" s="4">
        <f>IFERROR(AVERAGEIFS(Mesures!$H:$H,Mesures!$F:$F,$A13,Mesures!$C:$C,AM$2),"")</f>
        <v/>
      </c>
      <c r="AN13" s="4">
        <f>IFERROR(AVERAGEIFS(Mesures!$H:$H,Mesures!$F:$F,$A13,Mesures!$C:$C,AN$2),"")</f>
        <v/>
      </c>
      <c r="AO13" s="4">
        <f>IFERROR(AVERAGEIFS(Mesures!$H:$H,Mesures!$F:$F,$A13,Mesures!$C:$C,AO$2),"")</f>
        <v/>
      </c>
      <c r="AP13" s="4">
        <f>IFERROR(AVERAGEIFS(Mesures!$H:$H,Mesures!$F:$F,$A13,Mesures!$C:$C,AP$2),"")</f>
        <v/>
      </c>
      <c r="AQ13" s="4">
        <f>IFERROR(AVERAGEIFS(Mesures!$H:$H,Mesures!$F:$F,$A13,Mesures!$C:$C,AQ$2),"")</f>
        <v/>
      </c>
      <c r="AR13" s="4">
        <f>IFERROR(AVERAGEIFS(Mesures!$H:$H,Mesures!$F:$F,$A13,Mesures!$C:$C,AR$2),"")</f>
        <v/>
      </c>
      <c r="AS13" s="4">
        <f>IFERROR(AVERAGEIFS(Mesures!$H:$H,Mesures!$F:$F,$A13,Mesures!$C:$C,AS$2),"")</f>
        <v/>
      </c>
      <c r="AT13" s="4">
        <f>IFERROR(AVERAGEIFS(Mesures!$H:$H,Mesures!$F:$F,$A13,Mesures!$C:$C,AT$2),"")</f>
        <v/>
      </c>
      <c r="AU13" s="4">
        <f>IFERROR(AVERAGEIFS(Mesures!$H:$H,Mesures!$F:$F,$A13,Mesures!$C:$C,AU$2),"")</f>
        <v/>
      </c>
      <c r="AV13" s="4">
        <f>IFERROR(AVERAGEIFS(Mesures!$H:$H,Mesures!$F:$F,$A13,Mesures!$C:$C,AV$2),"")</f>
        <v/>
      </c>
      <c r="AW13" s="4">
        <f>IFERROR(AVERAGEIFS(Mesures!$H:$H,Mesures!$F:$F,$A13,Mesures!$C:$C,AW$2),"")</f>
        <v/>
      </c>
      <c r="AX13" s="4">
        <f>IFERROR(AVERAGEIFS(Mesures!$H:$H,Mesures!$F:$F,$A13,Mesures!$C:$C,AX$2),"")</f>
        <v/>
      </c>
      <c r="AY13" s="4">
        <f>IFERROR(AVERAGEIFS(Mesures!$H:$H,Mesures!$F:$F,$A13,Mesures!$C:$C,AY$2),"")</f>
        <v/>
      </c>
      <c r="AZ13" s="4">
        <f>IFERROR(AVERAGEIFS(Mesures!$H:$H,Mesures!$F:$F,$A13,Mesures!$C:$C,AZ$2),"")</f>
        <v/>
      </c>
      <c r="BA13" s="4">
        <f>IFERROR(AVERAGEIFS(Mesures!$H:$H,Mesures!$F:$F,$A13,Mesures!$C:$C,BA$2),"")</f>
        <v/>
      </c>
      <c r="BB13" s="4">
        <f>IFERROR(AVERAGEIFS(Mesures!$H:$H,Mesures!$F:$F,$A13,Mesures!$C:$C,BB$2),"")</f>
        <v/>
      </c>
      <c r="BC13" s="4">
        <f>IFERROR(AVERAGEIFS(Mesures!$H:$H,Mesures!$F:$F,$A13,Mesures!$C:$C,BC$2),"")</f>
        <v/>
      </c>
      <c r="BD13" s="4">
        <f>IFERROR(AVERAGEIFS(Mesures!$H:$H,Mesures!$F:$F,$A13,Mesures!$C:$C,BD$2),"")</f>
        <v/>
      </c>
      <c r="BE13" s="4">
        <f>IFERROR(AVERAGEIFS(Mesures!$H:$H,Mesures!$F:$F,$A13,Mesures!$C:$C,BE$2),"")</f>
        <v/>
      </c>
      <c r="BF13" s="4">
        <f>IFERROR(AVERAGEIFS(Mesures!$H:$H,Mesures!$F:$F,$A13,Mesures!$C:$C,BF$2),"")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  <c r="AH14" s="4">
        <f>IFERROR(AVERAGEIFS(Mesures!$H:$H,Mesures!$F:$F,$A14,Mesures!$C:$C,AH$2),"")</f>
        <v/>
      </c>
      <c r="AI14" s="4">
        <f>IFERROR(AVERAGEIFS(Mesures!$H:$H,Mesures!$F:$F,$A14,Mesures!$C:$C,AI$2),"")</f>
        <v/>
      </c>
      <c r="AJ14" s="4">
        <f>IFERROR(AVERAGEIFS(Mesures!$H:$H,Mesures!$F:$F,$A14,Mesures!$C:$C,AJ$2),"")</f>
        <v/>
      </c>
      <c r="AK14" s="4">
        <f>IFERROR(AVERAGEIFS(Mesures!$H:$H,Mesures!$F:$F,$A14,Mesures!$C:$C,AK$2),"")</f>
        <v/>
      </c>
      <c r="AL14" s="4">
        <f>IFERROR(AVERAGEIFS(Mesures!$H:$H,Mesures!$F:$F,$A14,Mesures!$C:$C,AL$2),"")</f>
        <v/>
      </c>
      <c r="AM14" s="4">
        <f>IFERROR(AVERAGEIFS(Mesures!$H:$H,Mesures!$F:$F,$A14,Mesures!$C:$C,AM$2),"")</f>
        <v/>
      </c>
      <c r="AN14" s="4">
        <f>IFERROR(AVERAGEIFS(Mesures!$H:$H,Mesures!$F:$F,$A14,Mesures!$C:$C,AN$2),"")</f>
        <v/>
      </c>
      <c r="AO14" s="4">
        <f>IFERROR(AVERAGEIFS(Mesures!$H:$H,Mesures!$F:$F,$A14,Mesures!$C:$C,AO$2),"")</f>
        <v/>
      </c>
      <c r="AP14" s="4">
        <f>IFERROR(AVERAGEIFS(Mesures!$H:$H,Mesures!$F:$F,$A14,Mesures!$C:$C,AP$2),"")</f>
        <v/>
      </c>
      <c r="AQ14" s="4">
        <f>IFERROR(AVERAGEIFS(Mesures!$H:$H,Mesures!$F:$F,$A14,Mesures!$C:$C,AQ$2),"")</f>
        <v/>
      </c>
      <c r="AR14" s="4">
        <f>IFERROR(AVERAGEIFS(Mesures!$H:$H,Mesures!$F:$F,$A14,Mesures!$C:$C,AR$2),"")</f>
        <v/>
      </c>
      <c r="AS14" s="4">
        <f>IFERROR(AVERAGEIFS(Mesures!$H:$H,Mesures!$F:$F,$A14,Mesures!$C:$C,AS$2),"")</f>
        <v/>
      </c>
      <c r="AT14" s="4">
        <f>IFERROR(AVERAGEIFS(Mesures!$H:$H,Mesures!$F:$F,$A14,Mesures!$C:$C,AT$2),"")</f>
        <v/>
      </c>
      <c r="AU14" s="4">
        <f>IFERROR(AVERAGEIFS(Mesures!$H:$H,Mesures!$F:$F,$A14,Mesures!$C:$C,AU$2),"")</f>
        <v/>
      </c>
      <c r="AV14" s="4">
        <f>IFERROR(AVERAGEIFS(Mesures!$H:$H,Mesures!$F:$F,$A14,Mesures!$C:$C,AV$2),"")</f>
        <v/>
      </c>
      <c r="AW14" s="4">
        <f>IFERROR(AVERAGEIFS(Mesures!$H:$H,Mesures!$F:$F,$A14,Mesures!$C:$C,AW$2),"")</f>
        <v/>
      </c>
      <c r="AX14" s="4">
        <f>IFERROR(AVERAGEIFS(Mesures!$H:$H,Mesures!$F:$F,$A14,Mesures!$C:$C,AX$2),"")</f>
        <v/>
      </c>
      <c r="AY14" s="4">
        <f>IFERROR(AVERAGEIFS(Mesures!$H:$H,Mesures!$F:$F,$A14,Mesures!$C:$C,AY$2),"")</f>
        <v/>
      </c>
      <c r="AZ14" s="4">
        <f>IFERROR(AVERAGEIFS(Mesures!$H:$H,Mesures!$F:$F,$A14,Mesures!$C:$C,AZ$2),"")</f>
        <v/>
      </c>
      <c r="BA14" s="4">
        <f>IFERROR(AVERAGEIFS(Mesures!$H:$H,Mesures!$F:$F,$A14,Mesures!$C:$C,BA$2),"")</f>
        <v/>
      </c>
      <c r="BB14" s="4">
        <f>IFERROR(AVERAGEIFS(Mesures!$H:$H,Mesures!$F:$F,$A14,Mesures!$C:$C,BB$2),"")</f>
        <v/>
      </c>
      <c r="BC14" s="4">
        <f>IFERROR(AVERAGEIFS(Mesures!$H:$H,Mesures!$F:$F,$A14,Mesures!$C:$C,BC$2),"")</f>
        <v/>
      </c>
      <c r="BD14" s="4">
        <f>IFERROR(AVERAGEIFS(Mesures!$H:$H,Mesures!$F:$F,$A14,Mesures!$C:$C,BD$2),"")</f>
        <v/>
      </c>
      <c r="BE14" s="4">
        <f>IFERROR(AVERAGEIFS(Mesures!$H:$H,Mesures!$F:$F,$A14,Mesures!$C:$C,BE$2),"")</f>
        <v/>
      </c>
      <c r="BF14" s="4">
        <f>IFERROR(AVERAGEIFS(Mesures!$H:$H,Mesures!$F:$F,$A14,Mesures!$C:$C,BF$2),"")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  <c r="AH15" s="4">
        <f>IFERROR(AVERAGEIFS(Mesures!$H:$H,Mesures!$F:$F,$A15,Mesures!$C:$C,AH$2),"")</f>
        <v/>
      </c>
      <c r="AI15" s="4">
        <f>IFERROR(AVERAGEIFS(Mesures!$H:$H,Mesures!$F:$F,$A15,Mesures!$C:$C,AI$2),"")</f>
        <v/>
      </c>
      <c r="AJ15" s="4">
        <f>IFERROR(AVERAGEIFS(Mesures!$H:$H,Mesures!$F:$F,$A15,Mesures!$C:$C,AJ$2),"")</f>
        <v/>
      </c>
      <c r="AK15" s="4">
        <f>IFERROR(AVERAGEIFS(Mesures!$H:$H,Mesures!$F:$F,$A15,Mesures!$C:$C,AK$2),"")</f>
        <v/>
      </c>
      <c r="AL15" s="4">
        <f>IFERROR(AVERAGEIFS(Mesures!$H:$H,Mesures!$F:$F,$A15,Mesures!$C:$C,AL$2),"")</f>
        <v/>
      </c>
      <c r="AM15" s="4">
        <f>IFERROR(AVERAGEIFS(Mesures!$H:$H,Mesures!$F:$F,$A15,Mesures!$C:$C,AM$2),"")</f>
        <v/>
      </c>
      <c r="AN15" s="4">
        <f>IFERROR(AVERAGEIFS(Mesures!$H:$H,Mesures!$F:$F,$A15,Mesures!$C:$C,AN$2),"")</f>
        <v/>
      </c>
      <c r="AO15" s="4">
        <f>IFERROR(AVERAGEIFS(Mesures!$H:$H,Mesures!$F:$F,$A15,Mesures!$C:$C,AO$2),"")</f>
        <v/>
      </c>
      <c r="AP15" s="4">
        <f>IFERROR(AVERAGEIFS(Mesures!$H:$H,Mesures!$F:$F,$A15,Mesures!$C:$C,AP$2),"")</f>
        <v/>
      </c>
      <c r="AQ15" s="4">
        <f>IFERROR(AVERAGEIFS(Mesures!$H:$H,Mesures!$F:$F,$A15,Mesures!$C:$C,AQ$2),"")</f>
        <v/>
      </c>
      <c r="AR15" s="4">
        <f>IFERROR(AVERAGEIFS(Mesures!$H:$H,Mesures!$F:$F,$A15,Mesures!$C:$C,AR$2),"")</f>
        <v/>
      </c>
      <c r="AS15" s="4">
        <f>IFERROR(AVERAGEIFS(Mesures!$H:$H,Mesures!$F:$F,$A15,Mesures!$C:$C,AS$2),"")</f>
        <v/>
      </c>
      <c r="AT15" s="4">
        <f>IFERROR(AVERAGEIFS(Mesures!$H:$H,Mesures!$F:$F,$A15,Mesures!$C:$C,AT$2),"")</f>
        <v/>
      </c>
      <c r="AU15" s="4">
        <f>IFERROR(AVERAGEIFS(Mesures!$H:$H,Mesures!$F:$F,$A15,Mesures!$C:$C,AU$2),"")</f>
        <v/>
      </c>
      <c r="AV15" s="4">
        <f>IFERROR(AVERAGEIFS(Mesures!$H:$H,Mesures!$F:$F,$A15,Mesures!$C:$C,AV$2),"")</f>
        <v/>
      </c>
      <c r="AW15" s="4">
        <f>IFERROR(AVERAGEIFS(Mesures!$H:$H,Mesures!$F:$F,$A15,Mesures!$C:$C,AW$2),"")</f>
        <v/>
      </c>
      <c r="AX15" s="4">
        <f>IFERROR(AVERAGEIFS(Mesures!$H:$H,Mesures!$F:$F,$A15,Mesures!$C:$C,AX$2),"")</f>
        <v/>
      </c>
      <c r="AY15" s="4">
        <f>IFERROR(AVERAGEIFS(Mesures!$H:$H,Mesures!$F:$F,$A15,Mesures!$C:$C,AY$2),"")</f>
        <v/>
      </c>
      <c r="AZ15" s="4">
        <f>IFERROR(AVERAGEIFS(Mesures!$H:$H,Mesures!$F:$F,$A15,Mesures!$C:$C,AZ$2),"")</f>
        <v/>
      </c>
      <c r="BA15" s="4">
        <f>IFERROR(AVERAGEIFS(Mesures!$H:$H,Mesures!$F:$F,$A15,Mesures!$C:$C,BA$2),"")</f>
        <v/>
      </c>
      <c r="BB15" s="4">
        <f>IFERROR(AVERAGEIFS(Mesures!$H:$H,Mesures!$F:$F,$A15,Mesures!$C:$C,BB$2),"")</f>
        <v/>
      </c>
      <c r="BC15" s="4">
        <f>IFERROR(AVERAGEIFS(Mesures!$H:$H,Mesures!$F:$F,$A15,Mesures!$C:$C,BC$2),"")</f>
        <v/>
      </c>
      <c r="BD15" s="4">
        <f>IFERROR(AVERAGEIFS(Mesures!$H:$H,Mesures!$F:$F,$A15,Mesures!$C:$C,BD$2),"")</f>
        <v/>
      </c>
      <c r="BE15" s="4">
        <f>IFERROR(AVERAGEIFS(Mesures!$H:$H,Mesures!$F:$F,$A15,Mesures!$C:$C,BE$2),"")</f>
        <v/>
      </c>
      <c r="BF15" s="4">
        <f>IFERROR(AVERAGEIFS(Mesures!$H:$H,Mesures!$F:$F,$A15,Mesures!$C:$C,BF$2),"")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  <c r="AH16" s="4">
        <f>IFERROR(AVERAGEIFS(Mesures!$H:$H,Mesures!$F:$F,$A16,Mesures!$C:$C,AH$2),"")</f>
        <v/>
      </c>
      <c r="AI16" s="4">
        <f>IFERROR(AVERAGEIFS(Mesures!$H:$H,Mesures!$F:$F,$A16,Mesures!$C:$C,AI$2),"")</f>
        <v/>
      </c>
      <c r="AJ16" s="4">
        <f>IFERROR(AVERAGEIFS(Mesures!$H:$H,Mesures!$F:$F,$A16,Mesures!$C:$C,AJ$2),"")</f>
        <v/>
      </c>
      <c r="AK16" s="4">
        <f>IFERROR(AVERAGEIFS(Mesures!$H:$H,Mesures!$F:$F,$A16,Mesures!$C:$C,AK$2),"")</f>
        <v/>
      </c>
      <c r="AL16" s="4">
        <f>IFERROR(AVERAGEIFS(Mesures!$H:$H,Mesures!$F:$F,$A16,Mesures!$C:$C,AL$2),"")</f>
        <v/>
      </c>
      <c r="AM16" s="4">
        <f>IFERROR(AVERAGEIFS(Mesures!$H:$H,Mesures!$F:$F,$A16,Mesures!$C:$C,AM$2),"")</f>
        <v/>
      </c>
      <c r="AN16" s="4">
        <f>IFERROR(AVERAGEIFS(Mesures!$H:$H,Mesures!$F:$F,$A16,Mesures!$C:$C,AN$2),"")</f>
        <v/>
      </c>
      <c r="AO16" s="4">
        <f>IFERROR(AVERAGEIFS(Mesures!$H:$H,Mesures!$F:$F,$A16,Mesures!$C:$C,AO$2),"")</f>
        <v/>
      </c>
      <c r="AP16" s="4">
        <f>IFERROR(AVERAGEIFS(Mesures!$H:$H,Mesures!$F:$F,$A16,Mesures!$C:$C,AP$2),"")</f>
        <v/>
      </c>
      <c r="AQ16" s="4">
        <f>IFERROR(AVERAGEIFS(Mesures!$H:$H,Mesures!$F:$F,$A16,Mesures!$C:$C,AQ$2),"")</f>
        <v/>
      </c>
      <c r="AR16" s="4">
        <f>IFERROR(AVERAGEIFS(Mesures!$H:$H,Mesures!$F:$F,$A16,Mesures!$C:$C,AR$2),"")</f>
        <v/>
      </c>
      <c r="AS16" s="4">
        <f>IFERROR(AVERAGEIFS(Mesures!$H:$H,Mesures!$F:$F,$A16,Mesures!$C:$C,AS$2),"")</f>
        <v/>
      </c>
      <c r="AT16" s="4">
        <f>IFERROR(AVERAGEIFS(Mesures!$H:$H,Mesures!$F:$F,$A16,Mesures!$C:$C,AT$2),"")</f>
        <v/>
      </c>
      <c r="AU16" s="4">
        <f>IFERROR(AVERAGEIFS(Mesures!$H:$H,Mesures!$F:$F,$A16,Mesures!$C:$C,AU$2),"")</f>
        <v/>
      </c>
      <c r="AV16" s="4">
        <f>IFERROR(AVERAGEIFS(Mesures!$H:$H,Mesures!$F:$F,$A16,Mesures!$C:$C,AV$2),"")</f>
        <v/>
      </c>
      <c r="AW16" s="4">
        <f>IFERROR(AVERAGEIFS(Mesures!$H:$H,Mesures!$F:$F,$A16,Mesures!$C:$C,AW$2),"")</f>
        <v/>
      </c>
      <c r="AX16" s="4">
        <f>IFERROR(AVERAGEIFS(Mesures!$H:$H,Mesures!$F:$F,$A16,Mesures!$C:$C,AX$2),"")</f>
        <v/>
      </c>
      <c r="AY16" s="4">
        <f>IFERROR(AVERAGEIFS(Mesures!$H:$H,Mesures!$F:$F,$A16,Mesures!$C:$C,AY$2),"")</f>
        <v/>
      </c>
      <c r="AZ16" s="4">
        <f>IFERROR(AVERAGEIFS(Mesures!$H:$H,Mesures!$F:$F,$A16,Mesures!$C:$C,AZ$2),"")</f>
        <v/>
      </c>
      <c r="BA16" s="4">
        <f>IFERROR(AVERAGEIFS(Mesures!$H:$H,Mesures!$F:$F,$A16,Mesures!$C:$C,BA$2),"")</f>
        <v/>
      </c>
      <c r="BB16" s="4">
        <f>IFERROR(AVERAGEIFS(Mesures!$H:$H,Mesures!$F:$F,$A16,Mesures!$C:$C,BB$2),"")</f>
        <v/>
      </c>
      <c r="BC16" s="4">
        <f>IFERROR(AVERAGEIFS(Mesures!$H:$H,Mesures!$F:$F,$A16,Mesures!$C:$C,BC$2),"")</f>
        <v/>
      </c>
      <c r="BD16" s="4">
        <f>IFERROR(AVERAGEIFS(Mesures!$H:$H,Mesures!$F:$F,$A16,Mesures!$C:$C,BD$2),"")</f>
        <v/>
      </c>
      <c r="BE16" s="4">
        <f>IFERROR(AVERAGEIFS(Mesures!$H:$H,Mesures!$F:$F,$A16,Mesures!$C:$C,BE$2),"")</f>
        <v/>
      </c>
      <c r="BF16" s="4">
        <f>IFERROR(AVERAGEIFS(Mesures!$H:$H,Mesures!$F:$F,$A16,Mesures!$C:$C,BF$2),"")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  <c r="AH17" s="4">
        <f>IFERROR(AVERAGEIFS(Mesures!$H:$H,Mesures!$F:$F,$A17,Mesures!$C:$C,AH$2),"")</f>
        <v/>
      </c>
      <c r="AI17" s="4">
        <f>IFERROR(AVERAGEIFS(Mesures!$H:$H,Mesures!$F:$F,$A17,Mesures!$C:$C,AI$2),"")</f>
        <v/>
      </c>
      <c r="AJ17" s="4">
        <f>IFERROR(AVERAGEIFS(Mesures!$H:$H,Mesures!$F:$F,$A17,Mesures!$C:$C,AJ$2),"")</f>
        <v/>
      </c>
      <c r="AK17" s="4">
        <f>IFERROR(AVERAGEIFS(Mesures!$H:$H,Mesures!$F:$F,$A17,Mesures!$C:$C,AK$2),"")</f>
        <v/>
      </c>
      <c r="AL17" s="4">
        <f>IFERROR(AVERAGEIFS(Mesures!$H:$H,Mesures!$F:$F,$A17,Mesures!$C:$C,AL$2),"")</f>
        <v/>
      </c>
      <c r="AM17" s="4">
        <f>IFERROR(AVERAGEIFS(Mesures!$H:$H,Mesures!$F:$F,$A17,Mesures!$C:$C,AM$2),"")</f>
        <v/>
      </c>
      <c r="AN17" s="4">
        <f>IFERROR(AVERAGEIFS(Mesures!$H:$H,Mesures!$F:$F,$A17,Mesures!$C:$C,AN$2),"")</f>
        <v/>
      </c>
      <c r="AO17" s="4">
        <f>IFERROR(AVERAGEIFS(Mesures!$H:$H,Mesures!$F:$F,$A17,Mesures!$C:$C,AO$2),"")</f>
        <v/>
      </c>
      <c r="AP17" s="4">
        <f>IFERROR(AVERAGEIFS(Mesures!$H:$H,Mesures!$F:$F,$A17,Mesures!$C:$C,AP$2),"")</f>
        <v/>
      </c>
      <c r="AQ17" s="4">
        <f>IFERROR(AVERAGEIFS(Mesures!$H:$H,Mesures!$F:$F,$A17,Mesures!$C:$C,AQ$2),"")</f>
        <v/>
      </c>
      <c r="AR17" s="4">
        <f>IFERROR(AVERAGEIFS(Mesures!$H:$H,Mesures!$F:$F,$A17,Mesures!$C:$C,AR$2),"")</f>
        <v/>
      </c>
      <c r="AS17" s="4">
        <f>IFERROR(AVERAGEIFS(Mesures!$H:$H,Mesures!$F:$F,$A17,Mesures!$C:$C,AS$2),"")</f>
        <v/>
      </c>
      <c r="AT17" s="4">
        <f>IFERROR(AVERAGEIFS(Mesures!$H:$H,Mesures!$F:$F,$A17,Mesures!$C:$C,AT$2),"")</f>
        <v/>
      </c>
      <c r="AU17" s="4">
        <f>IFERROR(AVERAGEIFS(Mesures!$H:$H,Mesures!$F:$F,$A17,Mesures!$C:$C,AU$2),"")</f>
        <v/>
      </c>
      <c r="AV17" s="4">
        <f>IFERROR(AVERAGEIFS(Mesures!$H:$H,Mesures!$F:$F,$A17,Mesures!$C:$C,AV$2),"")</f>
        <v/>
      </c>
      <c r="AW17" s="4">
        <f>IFERROR(AVERAGEIFS(Mesures!$H:$H,Mesures!$F:$F,$A17,Mesures!$C:$C,AW$2),"")</f>
        <v/>
      </c>
      <c r="AX17" s="4">
        <f>IFERROR(AVERAGEIFS(Mesures!$H:$H,Mesures!$F:$F,$A17,Mesures!$C:$C,AX$2),"")</f>
        <v/>
      </c>
      <c r="AY17" s="4">
        <f>IFERROR(AVERAGEIFS(Mesures!$H:$H,Mesures!$F:$F,$A17,Mesures!$C:$C,AY$2),"")</f>
        <v/>
      </c>
      <c r="AZ17" s="4">
        <f>IFERROR(AVERAGEIFS(Mesures!$H:$H,Mesures!$F:$F,$A17,Mesures!$C:$C,AZ$2),"")</f>
        <v/>
      </c>
      <c r="BA17" s="4">
        <f>IFERROR(AVERAGEIFS(Mesures!$H:$H,Mesures!$F:$F,$A17,Mesures!$C:$C,BA$2),"")</f>
        <v/>
      </c>
      <c r="BB17" s="4">
        <f>IFERROR(AVERAGEIFS(Mesures!$H:$H,Mesures!$F:$F,$A17,Mesures!$C:$C,BB$2),"")</f>
        <v/>
      </c>
      <c r="BC17" s="4">
        <f>IFERROR(AVERAGEIFS(Mesures!$H:$H,Mesures!$F:$F,$A17,Mesures!$C:$C,BC$2),"")</f>
        <v/>
      </c>
      <c r="BD17" s="4">
        <f>IFERROR(AVERAGEIFS(Mesures!$H:$H,Mesures!$F:$F,$A17,Mesures!$C:$C,BD$2),"")</f>
        <v/>
      </c>
      <c r="BE17" s="4">
        <f>IFERROR(AVERAGEIFS(Mesures!$H:$H,Mesures!$F:$F,$A17,Mesures!$C:$C,BE$2),"")</f>
        <v/>
      </c>
      <c r="BF17" s="4">
        <f>IFERROR(AVERAGEIFS(Mesures!$H:$H,Mesures!$F:$F,$A17,Mesures!$C:$C,BF$2),"")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  <c r="AH18" s="4">
        <f>IFERROR(AVERAGEIFS(Mesures!$H:$H,Mesures!$F:$F,$A18,Mesures!$C:$C,AH$2),"")</f>
        <v/>
      </c>
      <c r="AI18" s="4">
        <f>IFERROR(AVERAGEIFS(Mesures!$H:$H,Mesures!$F:$F,$A18,Mesures!$C:$C,AI$2),"")</f>
        <v/>
      </c>
      <c r="AJ18" s="4">
        <f>IFERROR(AVERAGEIFS(Mesures!$H:$H,Mesures!$F:$F,$A18,Mesures!$C:$C,AJ$2),"")</f>
        <v/>
      </c>
      <c r="AK18" s="4">
        <f>IFERROR(AVERAGEIFS(Mesures!$H:$H,Mesures!$F:$F,$A18,Mesures!$C:$C,AK$2),"")</f>
        <v/>
      </c>
      <c r="AL18" s="4">
        <f>IFERROR(AVERAGEIFS(Mesures!$H:$H,Mesures!$F:$F,$A18,Mesures!$C:$C,AL$2),"")</f>
        <v/>
      </c>
      <c r="AM18" s="4">
        <f>IFERROR(AVERAGEIFS(Mesures!$H:$H,Mesures!$F:$F,$A18,Mesures!$C:$C,AM$2),"")</f>
        <v/>
      </c>
      <c r="AN18" s="4">
        <f>IFERROR(AVERAGEIFS(Mesures!$H:$H,Mesures!$F:$F,$A18,Mesures!$C:$C,AN$2),"")</f>
        <v/>
      </c>
      <c r="AO18" s="4">
        <f>IFERROR(AVERAGEIFS(Mesures!$H:$H,Mesures!$F:$F,$A18,Mesures!$C:$C,AO$2),"")</f>
        <v/>
      </c>
      <c r="AP18" s="4">
        <f>IFERROR(AVERAGEIFS(Mesures!$H:$H,Mesures!$F:$F,$A18,Mesures!$C:$C,AP$2),"")</f>
        <v/>
      </c>
      <c r="AQ18" s="4">
        <f>IFERROR(AVERAGEIFS(Mesures!$H:$H,Mesures!$F:$F,$A18,Mesures!$C:$C,AQ$2),"")</f>
        <v/>
      </c>
      <c r="AR18" s="4">
        <f>IFERROR(AVERAGEIFS(Mesures!$H:$H,Mesures!$F:$F,$A18,Mesures!$C:$C,AR$2),"")</f>
        <v/>
      </c>
      <c r="AS18" s="4">
        <f>IFERROR(AVERAGEIFS(Mesures!$H:$H,Mesures!$F:$F,$A18,Mesures!$C:$C,AS$2),"")</f>
        <v/>
      </c>
      <c r="AT18" s="4">
        <f>IFERROR(AVERAGEIFS(Mesures!$H:$H,Mesures!$F:$F,$A18,Mesures!$C:$C,AT$2),"")</f>
        <v/>
      </c>
      <c r="AU18" s="4">
        <f>IFERROR(AVERAGEIFS(Mesures!$H:$H,Mesures!$F:$F,$A18,Mesures!$C:$C,AU$2),"")</f>
        <v/>
      </c>
      <c r="AV18" s="4">
        <f>IFERROR(AVERAGEIFS(Mesures!$H:$H,Mesures!$F:$F,$A18,Mesures!$C:$C,AV$2),"")</f>
        <v/>
      </c>
      <c r="AW18" s="4">
        <f>IFERROR(AVERAGEIFS(Mesures!$H:$H,Mesures!$F:$F,$A18,Mesures!$C:$C,AW$2),"")</f>
        <v/>
      </c>
      <c r="AX18" s="4">
        <f>IFERROR(AVERAGEIFS(Mesures!$H:$H,Mesures!$F:$F,$A18,Mesures!$C:$C,AX$2),"")</f>
        <v/>
      </c>
      <c r="AY18" s="4">
        <f>IFERROR(AVERAGEIFS(Mesures!$H:$H,Mesures!$F:$F,$A18,Mesures!$C:$C,AY$2),"")</f>
        <v/>
      </c>
      <c r="AZ18" s="4">
        <f>IFERROR(AVERAGEIFS(Mesures!$H:$H,Mesures!$F:$F,$A18,Mesures!$C:$C,AZ$2),"")</f>
        <v/>
      </c>
      <c r="BA18" s="4">
        <f>IFERROR(AVERAGEIFS(Mesures!$H:$H,Mesures!$F:$F,$A18,Mesures!$C:$C,BA$2),"")</f>
        <v/>
      </c>
      <c r="BB18" s="4">
        <f>IFERROR(AVERAGEIFS(Mesures!$H:$H,Mesures!$F:$F,$A18,Mesures!$C:$C,BB$2),"")</f>
        <v/>
      </c>
      <c r="BC18" s="4">
        <f>IFERROR(AVERAGEIFS(Mesures!$H:$H,Mesures!$F:$F,$A18,Mesures!$C:$C,BC$2),"")</f>
        <v/>
      </c>
      <c r="BD18" s="4">
        <f>IFERROR(AVERAGEIFS(Mesures!$H:$H,Mesures!$F:$F,$A18,Mesures!$C:$C,BD$2),"")</f>
        <v/>
      </c>
      <c r="BE18" s="4">
        <f>IFERROR(AVERAGEIFS(Mesures!$H:$H,Mesures!$F:$F,$A18,Mesures!$C:$C,BE$2),"")</f>
        <v/>
      </c>
      <c r="BF18" s="4">
        <f>IFERROR(AVERAGEIFS(Mesures!$H:$H,Mesures!$F:$F,$A18,Mesures!$C:$C,BF$2),"")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  <c r="AH19" s="4">
        <f>IFERROR(AVERAGEIFS(Mesures!$H:$H,Mesures!$F:$F,$A19,Mesures!$C:$C,AH$2),"")</f>
        <v/>
      </c>
      <c r="AI19" s="4">
        <f>IFERROR(AVERAGEIFS(Mesures!$H:$H,Mesures!$F:$F,$A19,Mesures!$C:$C,AI$2),"")</f>
        <v/>
      </c>
      <c r="AJ19" s="4">
        <f>IFERROR(AVERAGEIFS(Mesures!$H:$H,Mesures!$F:$F,$A19,Mesures!$C:$C,AJ$2),"")</f>
        <v/>
      </c>
      <c r="AK19" s="4">
        <f>IFERROR(AVERAGEIFS(Mesures!$H:$H,Mesures!$F:$F,$A19,Mesures!$C:$C,AK$2),"")</f>
        <v/>
      </c>
      <c r="AL19" s="4">
        <f>IFERROR(AVERAGEIFS(Mesures!$H:$H,Mesures!$F:$F,$A19,Mesures!$C:$C,AL$2),"")</f>
        <v/>
      </c>
      <c r="AM19" s="4">
        <f>IFERROR(AVERAGEIFS(Mesures!$H:$H,Mesures!$F:$F,$A19,Mesures!$C:$C,AM$2),"")</f>
        <v/>
      </c>
      <c r="AN19" s="4">
        <f>IFERROR(AVERAGEIFS(Mesures!$H:$H,Mesures!$F:$F,$A19,Mesures!$C:$C,AN$2),"")</f>
        <v/>
      </c>
      <c r="AO19" s="4">
        <f>IFERROR(AVERAGEIFS(Mesures!$H:$H,Mesures!$F:$F,$A19,Mesures!$C:$C,AO$2),"")</f>
        <v/>
      </c>
      <c r="AP19" s="4">
        <f>IFERROR(AVERAGEIFS(Mesures!$H:$H,Mesures!$F:$F,$A19,Mesures!$C:$C,AP$2),"")</f>
        <v/>
      </c>
      <c r="AQ19" s="4">
        <f>IFERROR(AVERAGEIFS(Mesures!$H:$H,Mesures!$F:$F,$A19,Mesures!$C:$C,AQ$2),"")</f>
        <v/>
      </c>
      <c r="AR19" s="4">
        <f>IFERROR(AVERAGEIFS(Mesures!$H:$H,Mesures!$F:$F,$A19,Mesures!$C:$C,AR$2),"")</f>
        <v/>
      </c>
      <c r="AS19" s="4">
        <f>IFERROR(AVERAGEIFS(Mesures!$H:$H,Mesures!$F:$F,$A19,Mesures!$C:$C,AS$2),"")</f>
        <v/>
      </c>
      <c r="AT19" s="4">
        <f>IFERROR(AVERAGEIFS(Mesures!$H:$H,Mesures!$F:$F,$A19,Mesures!$C:$C,AT$2),"")</f>
        <v/>
      </c>
      <c r="AU19" s="4">
        <f>IFERROR(AVERAGEIFS(Mesures!$H:$H,Mesures!$F:$F,$A19,Mesures!$C:$C,AU$2),"")</f>
        <v/>
      </c>
      <c r="AV19" s="4">
        <f>IFERROR(AVERAGEIFS(Mesures!$H:$H,Mesures!$F:$F,$A19,Mesures!$C:$C,AV$2),"")</f>
        <v/>
      </c>
      <c r="AW19" s="4">
        <f>IFERROR(AVERAGEIFS(Mesures!$H:$H,Mesures!$F:$F,$A19,Mesures!$C:$C,AW$2),"")</f>
        <v/>
      </c>
      <c r="AX19" s="4">
        <f>IFERROR(AVERAGEIFS(Mesures!$H:$H,Mesures!$F:$F,$A19,Mesures!$C:$C,AX$2),"")</f>
        <v/>
      </c>
      <c r="AY19" s="4">
        <f>IFERROR(AVERAGEIFS(Mesures!$H:$H,Mesures!$F:$F,$A19,Mesures!$C:$C,AY$2),"")</f>
        <v/>
      </c>
      <c r="AZ19" s="4">
        <f>IFERROR(AVERAGEIFS(Mesures!$H:$H,Mesures!$F:$F,$A19,Mesures!$C:$C,AZ$2),"")</f>
        <v/>
      </c>
      <c r="BA19" s="4">
        <f>IFERROR(AVERAGEIFS(Mesures!$H:$H,Mesures!$F:$F,$A19,Mesures!$C:$C,BA$2),"")</f>
        <v/>
      </c>
      <c r="BB19" s="4">
        <f>IFERROR(AVERAGEIFS(Mesures!$H:$H,Mesures!$F:$F,$A19,Mesures!$C:$C,BB$2),"")</f>
        <v/>
      </c>
      <c r="BC19" s="4">
        <f>IFERROR(AVERAGEIFS(Mesures!$H:$H,Mesures!$F:$F,$A19,Mesures!$C:$C,BC$2),"")</f>
        <v/>
      </c>
      <c r="BD19" s="4">
        <f>IFERROR(AVERAGEIFS(Mesures!$H:$H,Mesures!$F:$F,$A19,Mesures!$C:$C,BD$2),"")</f>
        <v/>
      </c>
      <c r="BE19" s="4">
        <f>IFERROR(AVERAGEIFS(Mesures!$H:$H,Mesures!$F:$F,$A19,Mesures!$C:$C,BE$2),"")</f>
        <v/>
      </c>
      <c r="BF19" s="4">
        <f>IFERROR(AVERAGEIFS(Mesures!$H:$H,Mesures!$F:$F,$A19,Mesures!$C:$C,BF$2),"")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  <c r="AH20" s="4">
        <f>IFERROR(AVERAGEIFS(Mesures!$H:$H,Mesures!$F:$F,$A20,Mesures!$C:$C,AH$2),"")</f>
        <v/>
      </c>
      <c r="AI20" s="4">
        <f>IFERROR(AVERAGEIFS(Mesures!$H:$H,Mesures!$F:$F,$A20,Mesures!$C:$C,AI$2),"")</f>
        <v/>
      </c>
      <c r="AJ20" s="4">
        <f>IFERROR(AVERAGEIFS(Mesures!$H:$H,Mesures!$F:$F,$A20,Mesures!$C:$C,AJ$2),"")</f>
        <v/>
      </c>
      <c r="AK20" s="4">
        <f>IFERROR(AVERAGEIFS(Mesures!$H:$H,Mesures!$F:$F,$A20,Mesures!$C:$C,AK$2),"")</f>
        <v/>
      </c>
      <c r="AL20" s="4">
        <f>IFERROR(AVERAGEIFS(Mesures!$H:$H,Mesures!$F:$F,$A20,Mesures!$C:$C,AL$2),"")</f>
        <v/>
      </c>
      <c r="AM20" s="4">
        <f>IFERROR(AVERAGEIFS(Mesures!$H:$H,Mesures!$F:$F,$A20,Mesures!$C:$C,AM$2),"")</f>
        <v/>
      </c>
      <c r="AN20" s="4">
        <f>IFERROR(AVERAGEIFS(Mesures!$H:$H,Mesures!$F:$F,$A20,Mesures!$C:$C,AN$2),"")</f>
        <v/>
      </c>
      <c r="AO20" s="4">
        <f>IFERROR(AVERAGEIFS(Mesures!$H:$H,Mesures!$F:$F,$A20,Mesures!$C:$C,AO$2),"")</f>
        <v/>
      </c>
      <c r="AP20" s="4">
        <f>IFERROR(AVERAGEIFS(Mesures!$H:$H,Mesures!$F:$F,$A20,Mesures!$C:$C,AP$2),"")</f>
        <v/>
      </c>
      <c r="AQ20" s="4">
        <f>IFERROR(AVERAGEIFS(Mesures!$H:$H,Mesures!$F:$F,$A20,Mesures!$C:$C,AQ$2),"")</f>
        <v/>
      </c>
      <c r="AR20" s="4">
        <f>IFERROR(AVERAGEIFS(Mesures!$H:$H,Mesures!$F:$F,$A20,Mesures!$C:$C,AR$2),"")</f>
        <v/>
      </c>
      <c r="AS20" s="4">
        <f>IFERROR(AVERAGEIFS(Mesures!$H:$H,Mesures!$F:$F,$A20,Mesures!$C:$C,AS$2),"")</f>
        <v/>
      </c>
      <c r="AT20" s="4">
        <f>IFERROR(AVERAGEIFS(Mesures!$H:$H,Mesures!$F:$F,$A20,Mesures!$C:$C,AT$2),"")</f>
        <v/>
      </c>
      <c r="AU20" s="4">
        <f>IFERROR(AVERAGEIFS(Mesures!$H:$H,Mesures!$F:$F,$A20,Mesures!$C:$C,AU$2),"")</f>
        <v/>
      </c>
      <c r="AV20" s="4">
        <f>IFERROR(AVERAGEIFS(Mesures!$H:$H,Mesures!$F:$F,$A20,Mesures!$C:$C,AV$2),"")</f>
        <v/>
      </c>
      <c r="AW20" s="4">
        <f>IFERROR(AVERAGEIFS(Mesures!$H:$H,Mesures!$F:$F,$A20,Mesures!$C:$C,AW$2),"")</f>
        <v/>
      </c>
      <c r="AX20" s="4">
        <f>IFERROR(AVERAGEIFS(Mesures!$H:$H,Mesures!$F:$F,$A20,Mesures!$C:$C,AX$2),"")</f>
        <v/>
      </c>
      <c r="AY20" s="4">
        <f>IFERROR(AVERAGEIFS(Mesures!$H:$H,Mesures!$F:$F,$A20,Mesures!$C:$C,AY$2),"")</f>
        <v/>
      </c>
      <c r="AZ20" s="4">
        <f>IFERROR(AVERAGEIFS(Mesures!$H:$H,Mesures!$F:$F,$A20,Mesures!$C:$C,AZ$2),"")</f>
        <v/>
      </c>
      <c r="BA20" s="4">
        <f>IFERROR(AVERAGEIFS(Mesures!$H:$H,Mesures!$F:$F,$A20,Mesures!$C:$C,BA$2),"")</f>
        <v/>
      </c>
      <c r="BB20" s="4">
        <f>IFERROR(AVERAGEIFS(Mesures!$H:$H,Mesures!$F:$F,$A20,Mesures!$C:$C,BB$2),"")</f>
        <v/>
      </c>
      <c r="BC20" s="4">
        <f>IFERROR(AVERAGEIFS(Mesures!$H:$H,Mesures!$F:$F,$A20,Mesures!$C:$C,BC$2),"")</f>
        <v/>
      </c>
      <c r="BD20" s="4">
        <f>IFERROR(AVERAGEIFS(Mesures!$H:$H,Mesures!$F:$F,$A20,Mesures!$C:$C,BD$2),"")</f>
        <v/>
      </c>
      <c r="BE20" s="4">
        <f>IFERROR(AVERAGEIFS(Mesures!$H:$H,Mesures!$F:$F,$A20,Mesures!$C:$C,BE$2),"")</f>
        <v/>
      </c>
      <c r="BF20" s="4">
        <f>IFERROR(AVERAGEIFS(Mesures!$H:$H,Mesures!$F:$F,$A20,Mesures!$C:$C,BF$2),"")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  <c r="AH21" s="4">
        <f>IFERROR(AVERAGEIFS(Mesures!$H:$H,Mesures!$F:$F,$A21,Mesures!$C:$C,AH$2),"")</f>
        <v/>
      </c>
      <c r="AI21" s="4">
        <f>IFERROR(AVERAGEIFS(Mesures!$H:$H,Mesures!$F:$F,$A21,Mesures!$C:$C,AI$2),"")</f>
        <v/>
      </c>
      <c r="AJ21" s="4">
        <f>IFERROR(AVERAGEIFS(Mesures!$H:$H,Mesures!$F:$F,$A21,Mesures!$C:$C,AJ$2),"")</f>
        <v/>
      </c>
      <c r="AK21" s="4">
        <f>IFERROR(AVERAGEIFS(Mesures!$H:$H,Mesures!$F:$F,$A21,Mesures!$C:$C,AK$2),"")</f>
        <v/>
      </c>
      <c r="AL21" s="4">
        <f>IFERROR(AVERAGEIFS(Mesures!$H:$H,Mesures!$F:$F,$A21,Mesures!$C:$C,AL$2),"")</f>
        <v/>
      </c>
      <c r="AM21" s="4">
        <f>IFERROR(AVERAGEIFS(Mesures!$H:$H,Mesures!$F:$F,$A21,Mesures!$C:$C,AM$2),"")</f>
        <v/>
      </c>
      <c r="AN21" s="4">
        <f>IFERROR(AVERAGEIFS(Mesures!$H:$H,Mesures!$F:$F,$A21,Mesures!$C:$C,AN$2),"")</f>
        <v/>
      </c>
      <c r="AO21" s="4">
        <f>IFERROR(AVERAGEIFS(Mesures!$H:$H,Mesures!$F:$F,$A21,Mesures!$C:$C,AO$2),"")</f>
        <v/>
      </c>
      <c r="AP21" s="4">
        <f>IFERROR(AVERAGEIFS(Mesures!$H:$H,Mesures!$F:$F,$A21,Mesures!$C:$C,AP$2),"")</f>
        <v/>
      </c>
      <c r="AQ21" s="4">
        <f>IFERROR(AVERAGEIFS(Mesures!$H:$H,Mesures!$F:$F,$A21,Mesures!$C:$C,AQ$2),"")</f>
        <v/>
      </c>
      <c r="AR21" s="4">
        <f>IFERROR(AVERAGEIFS(Mesures!$H:$H,Mesures!$F:$F,$A21,Mesures!$C:$C,AR$2),"")</f>
        <v/>
      </c>
      <c r="AS21" s="4">
        <f>IFERROR(AVERAGEIFS(Mesures!$H:$H,Mesures!$F:$F,$A21,Mesures!$C:$C,AS$2),"")</f>
        <v/>
      </c>
      <c r="AT21" s="4">
        <f>IFERROR(AVERAGEIFS(Mesures!$H:$H,Mesures!$F:$F,$A21,Mesures!$C:$C,AT$2),"")</f>
        <v/>
      </c>
      <c r="AU21" s="4">
        <f>IFERROR(AVERAGEIFS(Mesures!$H:$H,Mesures!$F:$F,$A21,Mesures!$C:$C,AU$2),"")</f>
        <v/>
      </c>
      <c r="AV21" s="4">
        <f>IFERROR(AVERAGEIFS(Mesures!$H:$H,Mesures!$F:$F,$A21,Mesures!$C:$C,AV$2),"")</f>
        <v/>
      </c>
      <c r="AW21" s="4">
        <f>IFERROR(AVERAGEIFS(Mesures!$H:$H,Mesures!$F:$F,$A21,Mesures!$C:$C,AW$2),"")</f>
        <v/>
      </c>
      <c r="AX21" s="4">
        <f>IFERROR(AVERAGEIFS(Mesures!$H:$H,Mesures!$F:$F,$A21,Mesures!$C:$C,AX$2),"")</f>
        <v/>
      </c>
      <c r="AY21" s="4">
        <f>IFERROR(AVERAGEIFS(Mesures!$H:$H,Mesures!$F:$F,$A21,Mesures!$C:$C,AY$2),"")</f>
        <v/>
      </c>
      <c r="AZ21" s="4">
        <f>IFERROR(AVERAGEIFS(Mesures!$H:$H,Mesures!$F:$F,$A21,Mesures!$C:$C,AZ$2),"")</f>
        <v/>
      </c>
      <c r="BA21" s="4">
        <f>IFERROR(AVERAGEIFS(Mesures!$H:$H,Mesures!$F:$F,$A21,Mesures!$C:$C,BA$2),"")</f>
        <v/>
      </c>
      <c r="BB21" s="4">
        <f>IFERROR(AVERAGEIFS(Mesures!$H:$H,Mesures!$F:$F,$A21,Mesures!$C:$C,BB$2),"")</f>
        <v/>
      </c>
      <c r="BC21" s="4">
        <f>IFERROR(AVERAGEIFS(Mesures!$H:$H,Mesures!$F:$F,$A21,Mesures!$C:$C,BC$2),"")</f>
        <v/>
      </c>
      <c r="BD21" s="4">
        <f>IFERROR(AVERAGEIFS(Mesures!$H:$H,Mesures!$F:$F,$A21,Mesures!$C:$C,BD$2),"")</f>
        <v/>
      </c>
      <c r="BE21" s="4">
        <f>IFERROR(AVERAGEIFS(Mesures!$H:$H,Mesures!$F:$F,$A21,Mesures!$C:$C,BE$2),"")</f>
        <v/>
      </c>
      <c r="BF21" s="4">
        <f>IFERROR(AVERAGEIFS(Mesures!$H:$H,Mesures!$F:$F,$A21,Mesures!$C:$C,BF$2),"")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  <c r="AH22" s="4">
        <f>IFERROR(AVERAGEIFS(Mesures!$H:$H,Mesures!$F:$F,$A22,Mesures!$C:$C,AH$2),"")</f>
        <v/>
      </c>
      <c r="AI22" s="4">
        <f>IFERROR(AVERAGEIFS(Mesures!$H:$H,Mesures!$F:$F,$A22,Mesures!$C:$C,AI$2),"")</f>
        <v/>
      </c>
      <c r="AJ22" s="4">
        <f>IFERROR(AVERAGEIFS(Mesures!$H:$H,Mesures!$F:$F,$A22,Mesures!$C:$C,AJ$2),"")</f>
        <v/>
      </c>
      <c r="AK22" s="4">
        <f>IFERROR(AVERAGEIFS(Mesures!$H:$H,Mesures!$F:$F,$A22,Mesures!$C:$C,AK$2),"")</f>
        <v/>
      </c>
      <c r="AL22" s="4">
        <f>IFERROR(AVERAGEIFS(Mesures!$H:$H,Mesures!$F:$F,$A22,Mesures!$C:$C,AL$2),"")</f>
        <v/>
      </c>
      <c r="AM22" s="4">
        <f>IFERROR(AVERAGEIFS(Mesures!$H:$H,Mesures!$F:$F,$A22,Mesures!$C:$C,AM$2),"")</f>
        <v/>
      </c>
      <c r="AN22" s="4">
        <f>IFERROR(AVERAGEIFS(Mesures!$H:$H,Mesures!$F:$F,$A22,Mesures!$C:$C,AN$2),"")</f>
        <v/>
      </c>
      <c r="AO22" s="4">
        <f>IFERROR(AVERAGEIFS(Mesures!$H:$H,Mesures!$F:$F,$A22,Mesures!$C:$C,AO$2),"")</f>
        <v/>
      </c>
      <c r="AP22" s="4">
        <f>IFERROR(AVERAGEIFS(Mesures!$H:$H,Mesures!$F:$F,$A22,Mesures!$C:$C,AP$2),"")</f>
        <v/>
      </c>
      <c r="AQ22" s="4">
        <f>IFERROR(AVERAGEIFS(Mesures!$H:$H,Mesures!$F:$F,$A22,Mesures!$C:$C,AQ$2),"")</f>
        <v/>
      </c>
      <c r="AR22" s="4">
        <f>IFERROR(AVERAGEIFS(Mesures!$H:$H,Mesures!$F:$F,$A22,Mesures!$C:$C,AR$2),"")</f>
        <v/>
      </c>
      <c r="AS22" s="4">
        <f>IFERROR(AVERAGEIFS(Mesures!$H:$H,Mesures!$F:$F,$A22,Mesures!$C:$C,AS$2),"")</f>
        <v/>
      </c>
      <c r="AT22" s="4">
        <f>IFERROR(AVERAGEIFS(Mesures!$H:$H,Mesures!$F:$F,$A22,Mesures!$C:$C,AT$2),"")</f>
        <v/>
      </c>
      <c r="AU22" s="4">
        <f>IFERROR(AVERAGEIFS(Mesures!$H:$H,Mesures!$F:$F,$A22,Mesures!$C:$C,AU$2),"")</f>
        <v/>
      </c>
      <c r="AV22" s="4">
        <f>IFERROR(AVERAGEIFS(Mesures!$H:$H,Mesures!$F:$F,$A22,Mesures!$C:$C,AV$2),"")</f>
        <v/>
      </c>
      <c r="AW22" s="4">
        <f>IFERROR(AVERAGEIFS(Mesures!$H:$H,Mesures!$F:$F,$A22,Mesures!$C:$C,AW$2),"")</f>
        <v/>
      </c>
      <c r="AX22" s="4">
        <f>IFERROR(AVERAGEIFS(Mesures!$H:$H,Mesures!$F:$F,$A22,Mesures!$C:$C,AX$2),"")</f>
        <v/>
      </c>
      <c r="AY22" s="4">
        <f>IFERROR(AVERAGEIFS(Mesures!$H:$H,Mesures!$F:$F,$A22,Mesures!$C:$C,AY$2),"")</f>
        <v/>
      </c>
      <c r="AZ22" s="4">
        <f>IFERROR(AVERAGEIFS(Mesures!$H:$H,Mesures!$F:$F,$A22,Mesures!$C:$C,AZ$2),"")</f>
        <v/>
      </c>
      <c r="BA22" s="4">
        <f>IFERROR(AVERAGEIFS(Mesures!$H:$H,Mesures!$F:$F,$A22,Mesures!$C:$C,BA$2),"")</f>
        <v/>
      </c>
      <c r="BB22" s="4">
        <f>IFERROR(AVERAGEIFS(Mesures!$H:$H,Mesures!$F:$F,$A22,Mesures!$C:$C,BB$2),"")</f>
        <v/>
      </c>
      <c r="BC22" s="4">
        <f>IFERROR(AVERAGEIFS(Mesures!$H:$H,Mesures!$F:$F,$A22,Mesures!$C:$C,BC$2),"")</f>
        <v/>
      </c>
      <c r="BD22" s="4">
        <f>IFERROR(AVERAGEIFS(Mesures!$H:$H,Mesures!$F:$F,$A22,Mesures!$C:$C,BD$2),"")</f>
        <v/>
      </c>
      <c r="BE22" s="4">
        <f>IFERROR(AVERAGEIFS(Mesures!$H:$H,Mesures!$F:$F,$A22,Mesures!$C:$C,BE$2),"")</f>
        <v/>
      </c>
      <c r="BF22" s="4">
        <f>IFERROR(AVERAGEIFS(Mesures!$H:$H,Mesures!$F:$F,$A22,Mesures!$C:$C,BF$2),"")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  <c r="AH23" s="4">
        <f>IFERROR(AVERAGEIFS(Mesures!$H:$H,Mesures!$F:$F,$A23,Mesures!$C:$C,AH$2),"")</f>
        <v/>
      </c>
      <c r="AI23" s="4">
        <f>IFERROR(AVERAGEIFS(Mesures!$H:$H,Mesures!$F:$F,$A23,Mesures!$C:$C,AI$2),"")</f>
        <v/>
      </c>
      <c r="AJ23" s="4">
        <f>IFERROR(AVERAGEIFS(Mesures!$H:$H,Mesures!$F:$F,$A23,Mesures!$C:$C,AJ$2),"")</f>
        <v/>
      </c>
      <c r="AK23" s="4">
        <f>IFERROR(AVERAGEIFS(Mesures!$H:$H,Mesures!$F:$F,$A23,Mesures!$C:$C,AK$2),"")</f>
        <v/>
      </c>
      <c r="AL23" s="4">
        <f>IFERROR(AVERAGEIFS(Mesures!$H:$H,Mesures!$F:$F,$A23,Mesures!$C:$C,AL$2),"")</f>
        <v/>
      </c>
      <c r="AM23" s="4">
        <f>IFERROR(AVERAGEIFS(Mesures!$H:$H,Mesures!$F:$F,$A23,Mesures!$C:$C,AM$2),"")</f>
        <v/>
      </c>
      <c r="AN23" s="4">
        <f>IFERROR(AVERAGEIFS(Mesures!$H:$H,Mesures!$F:$F,$A23,Mesures!$C:$C,AN$2),"")</f>
        <v/>
      </c>
      <c r="AO23" s="4">
        <f>IFERROR(AVERAGEIFS(Mesures!$H:$H,Mesures!$F:$F,$A23,Mesures!$C:$C,AO$2),"")</f>
        <v/>
      </c>
      <c r="AP23" s="4">
        <f>IFERROR(AVERAGEIFS(Mesures!$H:$H,Mesures!$F:$F,$A23,Mesures!$C:$C,AP$2),"")</f>
        <v/>
      </c>
      <c r="AQ23" s="4">
        <f>IFERROR(AVERAGEIFS(Mesures!$H:$H,Mesures!$F:$F,$A23,Mesures!$C:$C,AQ$2),"")</f>
        <v/>
      </c>
      <c r="AR23" s="4">
        <f>IFERROR(AVERAGEIFS(Mesures!$H:$H,Mesures!$F:$F,$A23,Mesures!$C:$C,AR$2),"")</f>
        <v/>
      </c>
      <c r="AS23" s="4">
        <f>IFERROR(AVERAGEIFS(Mesures!$H:$H,Mesures!$F:$F,$A23,Mesures!$C:$C,AS$2),"")</f>
        <v/>
      </c>
      <c r="AT23" s="4">
        <f>IFERROR(AVERAGEIFS(Mesures!$H:$H,Mesures!$F:$F,$A23,Mesures!$C:$C,AT$2),"")</f>
        <v/>
      </c>
      <c r="AU23" s="4">
        <f>IFERROR(AVERAGEIFS(Mesures!$H:$H,Mesures!$F:$F,$A23,Mesures!$C:$C,AU$2),"")</f>
        <v/>
      </c>
      <c r="AV23" s="4">
        <f>IFERROR(AVERAGEIFS(Mesures!$H:$H,Mesures!$F:$F,$A23,Mesures!$C:$C,AV$2),"")</f>
        <v/>
      </c>
      <c r="AW23" s="4">
        <f>IFERROR(AVERAGEIFS(Mesures!$H:$H,Mesures!$F:$F,$A23,Mesures!$C:$C,AW$2),"")</f>
        <v/>
      </c>
      <c r="AX23" s="4">
        <f>IFERROR(AVERAGEIFS(Mesures!$H:$H,Mesures!$F:$F,$A23,Mesures!$C:$C,AX$2),"")</f>
        <v/>
      </c>
      <c r="AY23" s="4">
        <f>IFERROR(AVERAGEIFS(Mesures!$H:$H,Mesures!$F:$F,$A23,Mesures!$C:$C,AY$2),"")</f>
        <v/>
      </c>
      <c r="AZ23" s="4">
        <f>IFERROR(AVERAGEIFS(Mesures!$H:$H,Mesures!$F:$F,$A23,Mesures!$C:$C,AZ$2),"")</f>
        <v/>
      </c>
      <c r="BA23" s="4">
        <f>IFERROR(AVERAGEIFS(Mesures!$H:$H,Mesures!$F:$F,$A23,Mesures!$C:$C,BA$2),"")</f>
        <v/>
      </c>
      <c r="BB23" s="4">
        <f>IFERROR(AVERAGEIFS(Mesures!$H:$H,Mesures!$F:$F,$A23,Mesures!$C:$C,BB$2),"")</f>
        <v/>
      </c>
      <c r="BC23" s="4">
        <f>IFERROR(AVERAGEIFS(Mesures!$H:$H,Mesures!$F:$F,$A23,Mesures!$C:$C,BC$2),"")</f>
        <v/>
      </c>
      <c r="BD23" s="4">
        <f>IFERROR(AVERAGEIFS(Mesures!$H:$H,Mesures!$F:$F,$A23,Mesures!$C:$C,BD$2),"")</f>
        <v/>
      </c>
      <c r="BE23" s="4">
        <f>IFERROR(AVERAGEIFS(Mesures!$H:$H,Mesures!$F:$F,$A23,Mesures!$C:$C,BE$2),"")</f>
        <v/>
      </c>
      <c r="BF23" s="4">
        <f>IFERROR(AVERAGEIFS(Mesures!$H:$H,Mesures!$F:$F,$A23,Mesures!$C:$C,BF$2),"")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  <c r="AH24" s="4">
        <f>IFERROR(AVERAGEIFS(Mesures!$H:$H,Mesures!$F:$F,$A24,Mesures!$C:$C,AH$2),"")</f>
        <v/>
      </c>
      <c r="AI24" s="4">
        <f>IFERROR(AVERAGEIFS(Mesures!$H:$H,Mesures!$F:$F,$A24,Mesures!$C:$C,AI$2),"")</f>
        <v/>
      </c>
      <c r="AJ24" s="4">
        <f>IFERROR(AVERAGEIFS(Mesures!$H:$H,Mesures!$F:$F,$A24,Mesures!$C:$C,AJ$2),"")</f>
        <v/>
      </c>
      <c r="AK24" s="4">
        <f>IFERROR(AVERAGEIFS(Mesures!$H:$H,Mesures!$F:$F,$A24,Mesures!$C:$C,AK$2),"")</f>
        <v/>
      </c>
      <c r="AL24" s="4">
        <f>IFERROR(AVERAGEIFS(Mesures!$H:$H,Mesures!$F:$F,$A24,Mesures!$C:$C,AL$2),"")</f>
        <v/>
      </c>
      <c r="AM24" s="4">
        <f>IFERROR(AVERAGEIFS(Mesures!$H:$H,Mesures!$F:$F,$A24,Mesures!$C:$C,AM$2),"")</f>
        <v/>
      </c>
      <c r="AN24" s="4">
        <f>IFERROR(AVERAGEIFS(Mesures!$H:$H,Mesures!$F:$F,$A24,Mesures!$C:$C,AN$2),"")</f>
        <v/>
      </c>
      <c r="AO24" s="4">
        <f>IFERROR(AVERAGEIFS(Mesures!$H:$H,Mesures!$F:$F,$A24,Mesures!$C:$C,AO$2),"")</f>
        <v/>
      </c>
      <c r="AP24" s="4">
        <f>IFERROR(AVERAGEIFS(Mesures!$H:$H,Mesures!$F:$F,$A24,Mesures!$C:$C,AP$2),"")</f>
        <v/>
      </c>
      <c r="AQ24" s="4">
        <f>IFERROR(AVERAGEIFS(Mesures!$H:$H,Mesures!$F:$F,$A24,Mesures!$C:$C,AQ$2),"")</f>
        <v/>
      </c>
      <c r="AR24" s="4">
        <f>IFERROR(AVERAGEIFS(Mesures!$H:$H,Mesures!$F:$F,$A24,Mesures!$C:$C,AR$2),"")</f>
        <v/>
      </c>
      <c r="AS24" s="4">
        <f>IFERROR(AVERAGEIFS(Mesures!$H:$H,Mesures!$F:$F,$A24,Mesures!$C:$C,AS$2),"")</f>
        <v/>
      </c>
      <c r="AT24" s="4">
        <f>IFERROR(AVERAGEIFS(Mesures!$H:$H,Mesures!$F:$F,$A24,Mesures!$C:$C,AT$2),"")</f>
        <v/>
      </c>
      <c r="AU24" s="4">
        <f>IFERROR(AVERAGEIFS(Mesures!$H:$H,Mesures!$F:$F,$A24,Mesures!$C:$C,AU$2),"")</f>
        <v/>
      </c>
      <c r="AV24" s="4">
        <f>IFERROR(AVERAGEIFS(Mesures!$H:$H,Mesures!$F:$F,$A24,Mesures!$C:$C,AV$2),"")</f>
        <v/>
      </c>
      <c r="AW24" s="4">
        <f>IFERROR(AVERAGEIFS(Mesures!$H:$H,Mesures!$F:$F,$A24,Mesures!$C:$C,AW$2),"")</f>
        <v/>
      </c>
      <c r="AX24" s="4">
        <f>IFERROR(AVERAGEIFS(Mesures!$H:$H,Mesures!$F:$F,$A24,Mesures!$C:$C,AX$2),"")</f>
        <v/>
      </c>
      <c r="AY24" s="4">
        <f>IFERROR(AVERAGEIFS(Mesures!$H:$H,Mesures!$F:$F,$A24,Mesures!$C:$C,AY$2),"")</f>
        <v/>
      </c>
      <c r="AZ24" s="4">
        <f>IFERROR(AVERAGEIFS(Mesures!$H:$H,Mesures!$F:$F,$A24,Mesures!$C:$C,AZ$2),"")</f>
        <v/>
      </c>
      <c r="BA24" s="4">
        <f>IFERROR(AVERAGEIFS(Mesures!$H:$H,Mesures!$F:$F,$A24,Mesures!$C:$C,BA$2),"")</f>
        <v/>
      </c>
      <c r="BB24" s="4">
        <f>IFERROR(AVERAGEIFS(Mesures!$H:$H,Mesures!$F:$F,$A24,Mesures!$C:$C,BB$2),"")</f>
        <v/>
      </c>
      <c r="BC24" s="4">
        <f>IFERROR(AVERAGEIFS(Mesures!$H:$H,Mesures!$F:$F,$A24,Mesures!$C:$C,BC$2),"")</f>
        <v/>
      </c>
      <c r="BD24" s="4">
        <f>IFERROR(AVERAGEIFS(Mesures!$H:$H,Mesures!$F:$F,$A24,Mesures!$C:$C,BD$2),"")</f>
        <v/>
      </c>
      <c r="BE24" s="4">
        <f>IFERROR(AVERAGEIFS(Mesures!$H:$H,Mesures!$F:$F,$A24,Mesures!$C:$C,BE$2),"")</f>
        <v/>
      </c>
      <c r="BF24" s="4">
        <f>IFERROR(AVERAGEIFS(Mesures!$H:$H,Mesures!$F:$F,$A24,Mesures!$C:$C,BF$2),"")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  <c r="AH25" s="4">
        <f>IFERROR(AVERAGEIFS(Mesures!$H:$H,Mesures!$F:$F,$A25,Mesures!$C:$C,AH$2),"")</f>
        <v/>
      </c>
      <c r="AI25" s="4">
        <f>IFERROR(AVERAGEIFS(Mesures!$H:$H,Mesures!$F:$F,$A25,Mesures!$C:$C,AI$2),"")</f>
        <v/>
      </c>
      <c r="AJ25" s="4">
        <f>IFERROR(AVERAGEIFS(Mesures!$H:$H,Mesures!$F:$F,$A25,Mesures!$C:$C,AJ$2),"")</f>
        <v/>
      </c>
      <c r="AK25" s="4">
        <f>IFERROR(AVERAGEIFS(Mesures!$H:$H,Mesures!$F:$F,$A25,Mesures!$C:$C,AK$2),"")</f>
        <v/>
      </c>
      <c r="AL25" s="4">
        <f>IFERROR(AVERAGEIFS(Mesures!$H:$H,Mesures!$F:$F,$A25,Mesures!$C:$C,AL$2),"")</f>
        <v/>
      </c>
      <c r="AM25" s="4">
        <f>IFERROR(AVERAGEIFS(Mesures!$H:$H,Mesures!$F:$F,$A25,Mesures!$C:$C,AM$2),"")</f>
        <v/>
      </c>
      <c r="AN25" s="4">
        <f>IFERROR(AVERAGEIFS(Mesures!$H:$H,Mesures!$F:$F,$A25,Mesures!$C:$C,AN$2),"")</f>
        <v/>
      </c>
      <c r="AO25" s="4">
        <f>IFERROR(AVERAGEIFS(Mesures!$H:$H,Mesures!$F:$F,$A25,Mesures!$C:$C,AO$2),"")</f>
        <v/>
      </c>
      <c r="AP25" s="4">
        <f>IFERROR(AVERAGEIFS(Mesures!$H:$H,Mesures!$F:$F,$A25,Mesures!$C:$C,AP$2),"")</f>
        <v/>
      </c>
      <c r="AQ25" s="4">
        <f>IFERROR(AVERAGEIFS(Mesures!$H:$H,Mesures!$F:$F,$A25,Mesures!$C:$C,AQ$2),"")</f>
        <v/>
      </c>
      <c r="AR25" s="4">
        <f>IFERROR(AVERAGEIFS(Mesures!$H:$H,Mesures!$F:$F,$A25,Mesures!$C:$C,AR$2),"")</f>
        <v/>
      </c>
      <c r="AS25" s="4">
        <f>IFERROR(AVERAGEIFS(Mesures!$H:$H,Mesures!$F:$F,$A25,Mesures!$C:$C,AS$2),"")</f>
        <v/>
      </c>
      <c r="AT25" s="4">
        <f>IFERROR(AVERAGEIFS(Mesures!$H:$H,Mesures!$F:$F,$A25,Mesures!$C:$C,AT$2),"")</f>
        <v/>
      </c>
      <c r="AU25" s="4">
        <f>IFERROR(AVERAGEIFS(Mesures!$H:$H,Mesures!$F:$F,$A25,Mesures!$C:$C,AU$2),"")</f>
        <v/>
      </c>
      <c r="AV25" s="4">
        <f>IFERROR(AVERAGEIFS(Mesures!$H:$H,Mesures!$F:$F,$A25,Mesures!$C:$C,AV$2),"")</f>
        <v/>
      </c>
      <c r="AW25" s="4">
        <f>IFERROR(AVERAGEIFS(Mesures!$H:$H,Mesures!$F:$F,$A25,Mesures!$C:$C,AW$2),"")</f>
        <v/>
      </c>
      <c r="AX25" s="4">
        <f>IFERROR(AVERAGEIFS(Mesures!$H:$H,Mesures!$F:$F,$A25,Mesures!$C:$C,AX$2),"")</f>
        <v/>
      </c>
      <c r="AY25" s="4">
        <f>IFERROR(AVERAGEIFS(Mesures!$H:$H,Mesures!$F:$F,$A25,Mesures!$C:$C,AY$2),"")</f>
        <v/>
      </c>
      <c r="AZ25" s="4">
        <f>IFERROR(AVERAGEIFS(Mesures!$H:$H,Mesures!$F:$F,$A25,Mesures!$C:$C,AZ$2),"")</f>
        <v/>
      </c>
      <c r="BA25" s="4">
        <f>IFERROR(AVERAGEIFS(Mesures!$H:$H,Mesures!$F:$F,$A25,Mesures!$C:$C,BA$2),"")</f>
        <v/>
      </c>
      <c r="BB25" s="4">
        <f>IFERROR(AVERAGEIFS(Mesures!$H:$H,Mesures!$F:$F,$A25,Mesures!$C:$C,BB$2),"")</f>
        <v/>
      </c>
      <c r="BC25" s="4">
        <f>IFERROR(AVERAGEIFS(Mesures!$H:$H,Mesures!$F:$F,$A25,Mesures!$C:$C,BC$2),"")</f>
        <v/>
      </c>
      <c r="BD25" s="4">
        <f>IFERROR(AVERAGEIFS(Mesures!$H:$H,Mesures!$F:$F,$A25,Mesures!$C:$C,BD$2),"")</f>
        <v/>
      </c>
      <c r="BE25" s="4">
        <f>IFERROR(AVERAGEIFS(Mesures!$H:$H,Mesures!$F:$F,$A25,Mesures!$C:$C,BE$2),"")</f>
        <v/>
      </c>
      <c r="BF25" s="4">
        <f>IFERROR(AVERAGEIFS(Mesures!$H:$H,Mesures!$F:$F,$A25,Mesures!$C:$C,BF$2),"")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  <c r="AH26" s="4">
        <f>IFERROR(AVERAGEIFS(Mesures!$H:$H,Mesures!$F:$F,$A26,Mesures!$C:$C,AH$2),"")</f>
        <v/>
      </c>
      <c r="AI26" s="4">
        <f>IFERROR(AVERAGEIFS(Mesures!$H:$H,Mesures!$F:$F,$A26,Mesures!$C:$C,AI$2),"")</f>
        <v/>
      </c>
      <c r="AJ26" s="4">
        <f>IFERROR(AVERAGEIFS(Mesures!$H:$H,Mesures!$F:$F,$A26,Mesures!$C:$C,AJ$2),"")</f>
        <v/>
      </c>
      <c r="AK26" s="4">
        <f>IFERROR(AVERAGEIFS(Mesures!$H:$H,Mesures!$F:$F,$A26,Mesures!$C:$C,AK$2),"")</f>
        <v/>
      </c>
      <c r="AL26" s="4">
        <f>IFERROR(AVERAGEIFS(Mesures!$H:$H,Mesures!$F:$F,$A26,Mesures!$C:$C,AL$2),"")</f>
        <v/>
      </c>
      <c r="AM26" s="4">
        <f>IFERROR(AVERAGEIFS(Mesures!$H:$H,Mesures!$F:$F,$A26,Mesures!$C:$C,AM$2),"")</f>
        <v/>
      </c>
      <c r="AN26" s="4">
        <f>IFERROR(AVERAGEIFS(Mesures!$H:$H,Mesures!$F:$F,$A26,Mesures!$C:$C,AN$2),"")</f>
        <v/>
      </c>
      <c r="AO26" s="4">
        <f>IFERROR(AVERAGEIFS(Mesures!$H:$H,Mesures!$F:$F,$A26,Mesures!$C:$C,AO$2),"")</f>
        <v/>
      </c>
      <c r="AP26" s="4">
        <f>IFERROR(AVERAGEIFS(Mesures!$H:$H,Mesures!$F:$F,$A26,Mesures!$C:$C,AP$2),"")</f>
        <v/>
      </c>
      <c r="AQ26" s="4">
        <f>IFERROR(AVERAGEIFS(Mesures!$H:$H,Mesures!$F:$F,$A26,Mesures!$C:$C,AQ$2),"")</f>
        <v/>
      </c>
      <c r="AR26" s="4">
        <f>IFERROR(AVERAGEIFS(Mesures!$H:$H,Mesures!$F:$F,$A26,Mesures!$C:$C,AR$2),"")</f>
        <v/>
      </c>
      <c r="AS26" s="4">
        <f>IFERROR(AVERAGEIFS(Mesures!$H:$H,Mesures!$F:$F,$A26,Mesures!$C:$C,AS$2),"")</f>
        <v/>
      </c>
      <c r="AT26" s="4">
        <f>IFERROR(AVERAGEIFS(Mesures!$H:$H,Mesures!$F:$F,$A26,Mesures!$C:$C,AT$2),"")</f>
        <v/>
      </c>
      <c r="AU26" s="4">
        <f>IFERROR(AVERAGEIFS(Mesures!$H:$H,Mesures!$F:$F,$A26,Mesures!$C:$C,AU$2),"")</f>
        <v/>
      </c>
      <c r="AV26" s="4">
        <f>IFERROR(AVERAGEIFS(Mesures!$H:$H,Mesures!$F:$F,$A26,Mesures!$C:$C,AV$2),"")</f>
        <v/>
      </c>
      <c r="AW26" s="4">
        <f>IFERROR(AVERAGEIFS(Mesures!$H:$H,Mesures!$F:$F,$A26,Mesures!$C:$C,AW$2),"")</f>
        <v/>
      </c>
      <c r="AX26" s="4">
        <f>IFERROR(AVERAGEIFS(Mesures!$H:$H,Mesures!$F:$F,$A26,Mesures!$C:$C,AX$2),"")</f>
        <v/>
      </c>
      <c r="AY26" s="4">
        <f>IFERROR(AVERAGEIFS(Mesures!$H:$H,Mesures!$F:$F,$A26,Mesures!$C:$C,AY$2),"")</f>
        <v/>
      </c>
      <c r="AZ26" s="4">
        <f>IFERROR(AVERAGEIFS(Mesures!$H:$H,Mesures!$F:$F,$A26,Mesures!$C:$C,AZ$2),"")</f>
        <v/>
      </c>
      <c r="BA26" s="4">
        <f>IFERROR(AVERAGEIFS(Mesures!$H:$H,Mesures!$F:$F,$A26,Mesures!$C:$C,BA$2),"")</f>
        <v/>
      </c>
      <c r="BB26" s="4">
        <f>IFERROR(AVERAGEIFS(Mesures!$H:$H,Mesures!$F:$F,$A26,Mesures!$C:$C,BB$2),"")</f>
        <v/>
      </c>
      <c r="BC26" s="4">
        <f>IFERROR(AVERAGEIFS(Mesures!$H:$H,Mesures!$F:$F,$A26,Mesures!$C:$C,BC$2),"")</f>
        <v/>
      </c>
      <c r="BD26" s="4">
        <f>IFERROR(AVERAGEIFS(Mesures!$H:$H,Mesures!$F:$F,$A26,Mesures!$C:$C,BD$2),"")</f>
        <v/>
      </c>
      <c r="BE26" s="4">
        <f>IFERROR(AVERAGEIFS(Mesures!$H:$H,Mesures!$F:$F,$A26,Mesures!$C:$C,BE$2),"")</f>
        <v/>
      </c>
      <c r="BF26" s="4">
        <f>IFERROR(AVERAGEIFS(Mesures!$H:$H,Mesures!$F:$F,$A26,Mesures!$C:$C,BF$2),"")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  <c r="AH27" s="4">
        <f>IFERROR(AVERAGEIFS(Mesures!$H:$H,Mesures!$F:$F,$A27,Mesures!$C:$C,AH$2),"")</f>
        <v/>
      </c>
      <c r="AI27" s="4">
        <f>IFERROR(AVERAGEIFS(Mesures!$H:$H,Mesures!$F:$F,$A27,Mesures!$C:$C,AI$2),"")</f>
        <v/>
      </c>
      <c r="AJ27" s="4">
        <f>IFERROR(AVERAGEIFS(Mesures!$H:$H,Mesures!$F:$F,$A27,Mesures!$C:$C,AJ$2),"")</f>
        <v/>
      </c>
      <c r="AK27" s="4">
        <f>IFERROR(AVERAGEIFS(Mesures!$H:$H,Mesures!$F:$F,$A27,Mesures!$C:$C,AK$2),"")</f>
        <v/>
      </c>
      <c r="AL27" s="4">
        <f>IFERROR(AVERAGEIFS(Mesures!$H:$H,Mesures!$F:$F,$A27,Mesures!$C:$C,AL$2),"")</f>
        <v/>
      </c>
      <c r="AM27" s="4">
        <f>IFERROR(AVERAGEIFS(Mesures!$H:$H,Mesures!$F:$F,$A27,Mesures!$C:$C,AM$2),"")</f>
        <v/>
      </c>
      <c r="AN27" s="4">
        <f>IFERROR(AVERAGEIFS(Mesures!$H:$H,Mesures!$F:$F,$A27,Mesures!$C:$C,AN$2),"")</f>
        <v/>
      </c>
      <c r="AO27" s="4">
        <f>IFERROR(AVERAGEIFS(Mesures!$H:$H,Mesures!$F:$F,$A27,Mesures!$C:$C,AO$2),"")</f>
        <v/>
      </c>
      <c r="AP27" s="4">
        <f>IFERROR(AVERAGEIFS(Mesures!$H:$H,Mesures!$F:$F,$A27,Mesures!$C:$C,AP$2),"")</f>
        <v/>
      </c>
      <c r="AQ27" s="4">
        <f>IFERROR(AVERAGEIFS(Mesures!$H:$H,Mesures!$F:$F,$A27,Mesures!$C:$C,AQ$2),"")</f>
        <v/>
      </c>
      <c r="AR27" s="4">
        <f>IFERROR(AVERAGEIFS(Mesures!$H:$H,Mesures!$F:$F,$A27,Mesures!$C:$C,AR$2),"")</f>
        <v/>
      </c>
      <c r="AS27" s="4">
        <f>IFERROR(AVERAGEIFS(Mesures!$H:$H,Mesures!$F:$F,$A27,Mesures!$C:$C,AS$2),"")</f>
        <v/>
      </c>
      <c r="AT27" s="4">
        <f>IFERROR(AVERAGEIFS(Mesures!$H:$H,Mesures!$F:$F,$A27,Mesures!$C:$C,AT$2),"")</f>
        <v/>
      </c>
      <c r="AU27" s="4">
        <f>IFERROR(AVERAGEIFS(Mesures!$H:$H,Mesures!$F:$F,$A27,Mesures!$C:$C,AU$2),"")</f>
        <v/>
      </c>
      <c r="AV27" s="4">
        <f>IFERROR(AVERAGEIFS(Mesures!$H:$H,Mesures!$F:$F,$A27,Mesures!$C:$C,AV$2),"")</f>
        <v/>
      </c>
      <c r="AW27" s="4">
        <f>IFERROR(AVERAGEIFS(Mesures!$H:$H,Mesures!$F:$F,$A27,Mesures!$C:$C,AW$2),"")</f>
        <v/>
      </c>
      <c r="AX27" s="4">
        <f>IFERROR(AVERAGEIFS(Mesures!$H:$H,Mesures!$F:$F,$A27,Mesures!$C:$C,AX$2),"")</f>
        <v/>
      </c>
      <c r="AY27" s="4">
        <f>IFERROR(AVERAGEIFS(Mesures!$H:$H,Mesures!$F:$F,$A27,Mesures!$C:$C,AY$2),"")</f>
        <v/>
      </c>
      <c r="AZ27" s="4">
        <f>IFERROR(AVERAGEIFS(Mesures!$H:$H,Mesures!$F:$F,$A27,Mesures!$C:$C,AZ$2),"")</f>
        <v/>
      </c>
      <c r="BA27" s="4">
        <f>IFERROR(AVERAGEIFS(Mesures!$H:$H,Mesures!$F:$F,$A27,Mesures!$C:$C,BA$2),"")</f>
        <v/>
      </c>
      <c r="BB27" s="4">
        <f>IFERROR(AVERAGEIFS(Mesures!$H:$H,Mesures!$F:$F,$A27,Mesures!$C:$C,BB$2),"")</f>
        <v/>
      </c>
      <c r="BC27" s="4">
        <f>IFERROR(AVERAGEIFS(Mesures!$H:$H,Mesures!$F:$F,$A27,Mesures!$C:$C,BC$2),"")</f>
        <v/>
      </c>
      <c r="BD27" s="4">
        <f>IFERROR(AVERAGEIFS(Mesures!$H:$H,Mesures!$F:$F,$A27,Mesures!$C:$C,BD$2),"")</f>
        <v/>
      </c>
      <c r="BE27" s="4">
        <f>IFERROR(AVERAGEIFS(Mesures!$H:$H,Mesures!$F:$F,$A27,Mesures!$C:$C,BE$2),"")</f>
        <v/>
      </c>
      <c r="BF27" s="4">
        <f>IFERROR(AVERAGEIFS(Mesures!$H:$H,Mesures!$F:$F,$A27,Mesures!$C:$C,BF$2),"")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  <c r="AH28" s="4">
        <f>IFERROR(AVERAGEIFS(Mesures!$H:$H,Mesures!$F:$F,$A28,Mesures!$C:$C,AH$2),"")</f>
        <v/>
      </c>
      <c r="AI28" s="4">
        <f>IFERROR(AVERAGEIFS(Mesures!$H:$H,Mesures!$F:$F,$A28,Mesures!$C:$C,AI$2),"")</f>
        <v/>
      </c>
      <c r="AJ28" s="4">
        <f>IFERROR(AVERAGEIFS(Mesures!$H:$H,Mesures!$F:$F,$A28,Mesures!$C:$C,AJ$2),"")</f>
        <v/>
      </c>
      <c r="AK28" s="4">
        <f>IFERROR(AVERAGEIFS(Mesures!$H:$H,Mesures!$F:$F,$A28,Mesures!$C:$C,AK$2),"")</f>
        <v/>
      </c>
      <c r="AL28" s="4">
        <f>IFERROR(AVERAGEIFS(Mesures!$H:$H,Mesures!$F:$F,$A28,Mesures!$C:$C,AL$2),"")</f>
        <v/>
      </c>
      <c r="AM28" s="4">
        <f>IFERROR(AVERAGEIFS(Mesures!$H:$H,Mesures!$F:$F,$A28,Mesures!$C:$C,AM$2),"")</f>
        <v/>
      </c>
      <c r="AN28" s="4">
        <f>IFERROR(AVERAGEIFS(Mesures!$H:$H,Mesures!$F:$F,$A28,Mesures!$C:$C,AN$2),"")</f>
        <v/>
      </c>
      <c r="AO28" s="4">
        <f>IFERROR(AVERAGEIFS(Mesures!$H:$H,Mesures!$F:$F,$A28,Mesures!$C:$C,AO$2),"")</f>
        <v/>
      </c>
      <c r="AP28" s="4">
        <f>IFERROR(AVERAGEIFS(Mesures!$H:$H,Mesures!$F:$F,$A28,Mesures!$C:$C,AP$2),"")</f>
        <v/>
      </c>
      <c r="AQ28" s="4">
        <f>IFERROR(AVERAGEIFS(Mesures!$H:$H,Mesures!$F:$F,$A28,Mesures!$C:$C,AQ$2),"")</f>
        <v/>
      </c>
      <c r="AR28" s="4">
        <f>IFERROR(AVERAGEIFS(Mesures!$H:$H,Mesures!$F:$F,$A28,Mesures!$C:$C,AR$2),"")</f>
        <v/>
      </c>
      <c r="AS28" s="4">
        <f>IFERROR(AVERAGEIFS(Mesures!$H:$H,Mesures!$F:$F,$A28,Mesures!$C:$C,AS$2),"")</f>
        <v/>
      </c>
      <c r="AT28" s="4">
        <f>IFERROR(AVERAGEIFS(Mesures!$H:$H,Mesures!$F:$F,$A28,Mesures!$C:$C,AT$2),"")</f>
        <v/>
      </c>
      <c r="AU28" s="4">
        <f>IFERROR(AVERAGEIFS(Mesures!$H:$H,Mesures!$F:$F,$A28,Mesures!$C:$C,AU$2),"")</f>
        <v/>
      </c>
      <c r="AV28" s="4">
        <f>IFERROR(AVERAGEIFS(Mesures!$H:$H,Mesures!$F:$F,$A28,Mesures!$C:$C,AV$2),"")</f>
        <v/>
      </c>
      <c r="AW28" s="4">
        <f>IFERROR(AVERAGEIFS(Mesures!$H:$H,Mesures!$F:$F,$A28,Mesures!$C:$C,AW$2),"")</f>
        <v/>
      </c>
      <c r="AX28" s="4">
        <f>IFERROR(AVERAGEIFS(Mesures!$H:$H,Mesures!$F:$F,$A28,Mesures!$C:$C,AX$2),"")</f>
        <v/>
      </c>
      <c r="AY28" s="4">
        <f>IFERROR(AVERAGEIFS(Mesures!$H:$H,Mesures!$F:$F,$A28,Mesures!$C:$C,AY$2),"")</f>
        <v/>
      </c>
      <c r="AZ28" s="4">
        <f>IFERROR(AVERAGEIFS(Mesures!$H:$H,Mesures!$F:$F,$A28,Mesures!$C:$C,AZ$2),"")</f>
        <v/>
      </c>
      <c r="BA28" s="4">
        <f>IFERROR(AVERAGEIFS(Mesures!$H:$H,Mesures!$F:$F,$A28,Mesures!$C:$C,BA$2),"")</f>
        <v/>
      </c>
      <c r="BB28" s="4">
        <f>IFERROR(AVERAGEIFS(Mesures!$H:$H,Mesures!$F:$F,$A28,Mesures!$C:$C,BB$2),"")</f>
        <v/>
      </c>
      <c r="BC28" s="4">
        <f>IFERROR(AVERAGEIFS(Mesures!$H:$H,Mesures!$F:$F,$A28,Mesures!$C:$C,BC$2),"")</f>
        <v/>
      </c>
      <c r="BD28" s="4">
        <f>IFERROR(AVERAGEIFS(Mesures!$H:$H,Mesures!$F:$F,$A28,Mesures!$C:$C,BD$2),"")</f>
        <v/>
      </c>
      <c r="BE28" s="4">
        <f>IFERROR(AVERAGEIFS(Mesures!$H:$H,Mesures!$F:$F,$A28,Mesures!$C:$C,BE$2),"")</f>
        <v/>
      </c>
      <c r="BF28" s="4">
        <f>IFERROR(AVERAGEIFS(Mesures!$H:$H,Mesures!$F:$F,$A28,Mesures!$C:$C,BF$2),"")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  <c r="AH29" s="4">
        <f>IFERROR(AVERAGEIFS(Mesures!$H:$H,Mesures!$F:$F,$A29,Mesures!$C:$C,AH$2),"")</f>
        <v/>
      </c>
      <c r="AI29" s="4">
        <f>IFERROR(AVERAGEIFS(Mesures!$H:$H,Mesures!$F:$F,$A29,Mesures!$C:$C,AI$2),"")</f>
        <v/>
      </c>
      <c r="AJ29" s="4">
        <f>IFERROR(AVERAGEIFS(Mesures!$H:$H,Mesures!$F:$F,$A29,Mesures!$C:$C,AJ$2),"")</f>
        <v/>
      </c>
      <c r="AK29" s="4">
        <f>IFERROR(AVERAGEIFS(Mesures!$H:$H,Mesures!$F:$F,$A29,Mesures!$C:$C,AK$2),"")</f>
        <v/>
      </c>
      <c r="AL29" s="4">
        <f>IFERROR(AVERAGEIFS(Mesures!$H:$H,Mesures!$F:$F,$A29,Mesures!$C:$C,AL$2),"")</f>
        <v/>
      </c>
      <c r="AM29" s="4">
        <f>IFERROR(AVERAGEIFS(Mesures!$H:$H,Mesures!$F:$F,$A29,Mesures!$C:$C,AM$2),"")</f>
        <v/>
      </c>
      <c r="AN29" s="4">
        <f>IFERROR(AVERAGEIFS(Mesures!$H:$H,Mesures!$F:$F,$A29,Mesures!$C:$C,AN$2),"")</f>
        <v/>
      </c>
      <c r="AO29" s="4">
        <f>IFERROR(AVERAGEIFS(Mesures!$H:$H,Mesures!$F:$F,$A29,Mesures!$C:$C,AO$2),"")</f>
        <v/>
      </c>
      <c r="AP29" s="4">
        <f>IFERROR(AVERAGEIFS(Mesures!$H:$H,Mesures!$F:$F,$A29,Mesures!$C:$C,AP$2),"")</f>
        <v/>
      </c>
      <c r="AQ29" s="4">
        <f>IFERROR(AVERAGEIFS(Mesures!$H:$H,Mesures!$F:$F,$A29,Mesures!$C:$C,AQ$2),"")</f>
        <v/>
      </c>
      <c r="AR29" s="4">
        <f>IFERROR(AVERAGEIFS(Mesures!$H:$H,Mesures!$F:$F,$A29,Mesures!$C:$C,AR$2),"")</f>
        <v/>
      </c>
      <c r="AS29" s="4">
        <f>IFERROR(AVERAGEIFS(Mesures!$H:$H,Mesures!$F:$F,$A29,Mesures!$C:$C,AS$2),"")</f>
        <v/>
      </c>
      <c r="AT29" s="4">
        <f>IFERROR(AVERAGEIFS(Mesures!$H:$H,Mesures!$F:$F,$A29,Mesures!$C:$C,AT$2),"")</f>
        <v/>
      </c>
      <c r="AU29" s="4">
        <f>IFERROR(AVERAGEIFS(Mesures!$H:$H,Mesures!$F:$F,$A29,Mesures!$C:$C,AU$2),"")</f>
        <v/>
      </c>
      <c r="AV29" s="4">
        <f>IFERROR(AVERAGEIFS(Mesures!$H:$H,Mesures!$F:$F,$A29,Mesures!$C:$C,AV$2),"")</f>
        <v/>
      </c>
      <c r="AW29" s="4">
        <f>IFERROR(AVERAGEIFS(Mesures!$H:$H,Mesures!$F:$F,$A29,Mesures!$C:$C,AW$2),"")</f>
        <v/>
      </c>
      <c r="AX29" s="4">
        <f>IFERROR(AVERAGEIFS(Mesures!$H:$H,Mesures!$F:$F,$A29,Mesures!$C:$C,AX$2),"")</f>
        <v/>
      </c>
      <c r="AY29" s="4">
        <f>IFERROR(AVERAGEIFS(Mesures!$H:$H,Mesures!$F:$F,$A29,Mesures!$C:$C,AY$2),"")</f>
        <v/>
      </c>
      <c r="AZ29" s="4">
        <f>IFERROR(AVERAGEIFS(Mesures!$H:$H,Mesures!$F:$F,$A29,Mesures!$C:$C,AZ$2),"")</f>
        <v/>
      </c>
      <c r="BA29" s="4">
        <f>IFERROR(AVERAGEIFS(Mesures!$H:$H,Mesures!$F:$F,$A29,Mesures!$C:$C,BA$2),"")</f>
        <v/>
      </c>
      <c r="BB29" s="4">
        <f>IFERROR(AVERAGEIFS(Mesures!$H:$H,Mesures!$F:$F,$A29,Mesures!$C:$C,BB$2),"")</f>
        <v/>
      </c>
      <c r="BC29" s="4">
        <f>IFERROR(AVERAGEIFS(Mesures!$H:$H,Mesures!$F:$F,$A29,Mesures!$C:$C,BC$2),"")</f>
        <v/>
      </c>
      <c r="BD29" s="4">
        <f>IFERROR(AVERAGEIFS(Mesures!$H:$H,Mesures!$F:$F,$A29,Mesures!$C:$C,BD$2),"")</f>
        <v/>
      </c>
      <c r="BE29" s="4">
        <f>IFERROR(AVERAGEIFS(Mesures!$H:$H,Mesures!$F:$F,$A29,Mesures!$C:$C,BE$2),"")</f>
        <v/>
      </c>
      <c r="BF29" s="4">
        <f>IFERROR(AVERAGEIFS(Mesures!$H:$H,Mesures!$F:$F,$A29,Mesures!$C:$C,BF$2),"")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  <c r="AH30" s="4">
        <f>IFERROR(AVERAGEIFS(Mesures!$H:$H,Mesures!$F:$F,$A30,Mesures!$C:$C,AH$2),"")</f>
        <v/>
      </c>
      <c r="AI30" s="4">
        <f>IFERROR(AVERAGEIFS(Mesures!$H:$H,Mesures!$F:$F,$A30,Mesures!$C:$C,AI$2),"")</f>
        <v/>
      </c>
      <c r="AJ30" s="4">
        <f>IFERROR(AVERAGEIFS(Mesures!$H:$H,Mesures!$F:$F,$A30,Mesures!$C:$C,AJ$2),"")</f>
        <v/>
      </c>
      <c r="AK30" s="4">
        <f>IFERROR(AVERAGEIFS(Mesures!$H:$H,Mesures!$F:$F,$A30,Mesures!$C:$C,AK$2),"")</f>
        <v/>
      </c>
      <c r="AL30" s="4">
        <f>IFERROR(AVERAGEIFS(Mesures!$H:$H,Mesures!$F:$F,$A30,Mesures!$C:$C,AL$2),"")</f>
        <v/>
      </c>
      <c r="AM30" s="4">
        <f>IFERROR(AVERAGEIFS(Mesures!$H:$H,Mesures!$F:$F,$A30,Mesures!$C:$C,AM$2),"")</f>
        <v/>
      </c>
      <c r="AN30" s="4">
        <f>IFERROR(AVERAGEIFS(Mesures!$H:$H,Mesures!$F:$F,$A30,Mesures!$C:$C,AN$2),"")</f>
        <v/>
      </c>
      <c r="AO30" s="4">
        <f>IFERROR(AVERAGEIFS(Mesures!$H:$H,Mesures!$F:$F,$A30,Mesures!$C:$C,AO$2),"")</f>
        <v/>
      </c>
      <c r="AP30" s="4">
        <f>IFERROR(AVERAGEIFS(Mesures!$H:$H,Mesures!$F:$F,$A30,Mesures!$C:$C,AP$2),"")</f>
        <v/>
      </c>
      <c r="AQ30" s="4">
        <f>IFERROR(AVERAGEIFS(Mesures!$H:$H,Mesures!$F:$F,$A30,Mesures!$C:$C,AQ$2),"")</f>
        <v/>
      </c>
      <c r="AR30" s="4">
        <f>IFERROR(AVERAGEIFS(Mesures!$H:$H,Mesures!$F:$F,$A30,Mesures!$C:$C,AR$2),"")</f>
        <v/>
      </c>
      <c r="AS30" s="4">
        <f>IFERROR(AVERAGEIFS(Mesures!$H:$H,Mesures!$F:$F,$A30,Mesures!$C:$C,AS$2),"")</f>
        <v/>
      </c>
      <c r="AT30" s="4">
        <f>IFERROR(AVERAGEIFS(Mesures!$H:$H,Mesures!$F:$F,$A30,Mesures!$C:$C,AT$2),"")</f>
        <v/>
      </c>
      <c r="AU30" s="4">
        <f>IFERROR(AVERAGEIFS(Mesures!$H:$H,Mesures!$F:$F,$A30,Mesures!$C:$C,AU$2),"")</f>
        <v/>
      </c>
      <c r="AV30" s="4">
        <f>IFERROR(AVERAGEIFS(Mesures!$H:$H,Mesures!$F:$F,$A30,Mesures!$C:$C,AV$2),"")</f>
        <v/>
      </c>
      <c r="AW30" s="4">
        <f>IFERROR(AVERAGEIFS(Mesures!$H:$H,Mesures!$F:$F,$A30,Mesures!$C:$C,AW$2),"")</f>
        <v/>
      </c>
      <c r="AX30" s="4">
        <f>IFERROR(AVERAGEIFS(Mesures!$H:$H,Mesures!$F:$F,$A30,Mesures!$C:$C,AX$2),"")</f>
        <v/>
      </c>
      <c r="AY30" s="4">
        <f>IFERROR(AVERAGEIFS(Mesures!$H:$H,Mesures!$F:$F,$A30,Mesures!$C:$C,AY$2),"")</f>
        <v/>
      </c>
      <c r="AZ30" s="4">
        <f>IFERROR(AVERAGEIFS(Mesures!$H:$H,Mesures!$F:$F,$A30,Mesures!$C:$C,AZ$2),"")</f>
        <v/>
      </c>
      <c r="BA30" s="4">
        <f>IFERROR(AVERAGEIFS(Mesures!$H:$H,Mesures!$F:$F,$A30,Mesures!$C:$C,BA$2),"")</f>
        <v/>
      </c>
      <c r="BB30" s="4">
        <f>IFERROR(AVERAGEIFS(Mesures!$H:$H,Mesures!$F:$F,$A30,Mesures!$C:$C,BB$2),"")</f>
        <v/>
      </c>
      <c r="BC30" s="4">
        <f>IFERROR(AVERAGEIFS(Mesures!$H:$H,Mesures!$F:$F,$A30,Mesures!$C:$C,BC$2),"")</f>
        <v/>
      </c>
      <c r="BD30" s="4">
        <f>IFERROR(AVERAGEIFS(Mesures!$H:$H,Mesures!$F:$F,$A30,Mesures!$C:$C,BD$2),"")</f>
        <v/>
      </c>
      <c r="BE30" s="4">
        <f>IFERROR(AVERAGEIFS(Mesures!$H:$H,Mesures!$F:$F,$A30,Mesures!$C:$C,BE$2),"")</f>
        <v/>
      </c>
      <c r="BF30" s="4">
        <f>IFERROR(AVERAGEIFS(Mesures!$H:$H,Mesures!$F:$F,$A30,Mesures!$C:$C,BF$2),"")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  <c r="AH31" s="4">
        <f>IFERROR(AVERAGEIFS(Mesures!$H:$H,Mesures!$F:$F,$A31,Mesures!$C:$C,AH$2),"")</f>
        <v/>
      </c>
      <c r="AI31" s="4">
        <f>IFERROR(AVERAGEIFS(Mesures!$H:$H,Mesures!$F:$F,$A31,Mesures!$C:$C,AI$2),"")</f>
        <v/>
      </c>
      <c r="AJ31" s="4">
        <f>IFERROR(AVERAGEIFS(Mesures!$H:$H,Mesures!$F:$F,$A31,Mesures!$C:$C,AJ$2),"")</f>
        <v/>
      </c>
      <c r="AK31" s="4">
        <f>IFERROR(AVERAGEIFS(Mesures!$H:$H,Mesures!$F:$F,$A31,Mesures!$C:$C,AK$2),"")</f>
        <v/>
      </c>
      <c r="AL31" s="4">
        <f>IFERROR(AVERAGEIFS(Mesures!$H:$H,Mesures!$F:$F,$A31,Mesures!$C:$C,AL$2),"")</f>
        <v/>
      </c>
      <c r="AM31" s="4">
        <f>IFERROR(AVERAGEIFS(Mesures!$H:$H,Mesures!$F:$F,$A31,Mesures!$C:$C,AM$2),"")</f>
        <v/>
      </c>
      <c r="AN31" s="4">
        <f>IFERROR(AVERAGEIFS(Mesures!$H:$H,Mesures!$F:$F,$A31,Mesures!$C:$C,AN$2),"")</f>
        <v/>
      </c>
      <c r="AO31" s="4">
        <f>IFERROR(AVERAGEIFS(Mesures!$H:$H,Mesures!$F:$F,$A31,Mesures!$C:$C,AO$2),"")</f>
        <v/>
      </c>
      <c r="AP31" s="4">
        <f>IFERROR(AVERAGEIFS(Mesures!$H:$H,Mesures!$F:$F,$A31,Mesures!$C:$C,AP$2),"")</f>
        <v/>
      </c>
      <c r="AQ31" s="4">
        <f>IFERROR(AVERAGEIFS(Mesures!$H:$H,Mesures!$F:$F,$A31,Mesures!$C:$C,AQ$2),"")</f>
        <v/>
      </c>
      <c r="AR31" s="4">
        <f>IFERROR(AVERAGEIFS(Mesures!$H:$H,Mesures!$F:$F,$A31,Mesures!$C:$C,AR$2),"")</f>
        <v/>
      </c>
      <c r="AS31" s="4">
        <f>IFERROR(AVERAGEIFS(Mesures!$H:$H,Mesures!$F:$F,$A31,Mesures!$C:$C,AS$2),"")</f>
        <v/>
      </c>
      <c r="AT31" s="4">
        <f>IFERROR(AVERAGEIFS(Mesures!$H:$H,Mesures!$F:$F,$A31,Mesures!$C:$C,AT$2),"")</f>
        <v/>
      </c>
      <c r="AU31" s="4">
        <f>IFERROR(AVERAGEIFS(Mesures!$H:$H,Mesures!$F:$F,$A31,Mesures!$C:$C,AU$2),"")</f>
        <v/>
      </c>
      <c r="AV31" s="4">
        <f>IFERROR(AVERAGEIFS(Mesures!$H:$H,Mesures!$F:$F,$A31,Mesures!$C:$C,AV$2),"")</f>
        <v/>
      </c>
      <c r="AW31" s="4">
        <f>IFERROR(AVERAGEIFS(Mesures!$H:$H,Mesures!$F:$F,$A31,Mesures!$C:$C,AW$2),"")</f>
        <v/>
      </c>
      <c r="AX31" s="4">
        <f>IFERROR(AVERAGEIFS(Mesures!$H:$H,Mesures!$F:$F,$A31,Mesures!$C:$C,AX$2),"")</f>
        <v/>
      </c>
      <c r="AY31" s="4">
        <f>IFERROR(AVERAGEIFS(Mesures!$H:$H,Mesures!$F:$F,$A31,Mesures!$C:$C,AY$2),"")</f>
        <v/>
      </c>
      <c r="AZ31" s="4">
        <f>IFERROR(AVERAGEIFS(Mesures!$H:$H,Mesures!$F:$F,$A31,Mesures!$C:$C,AZ$2),"")</f>
        <v/>
      </c>
      <c r="BA31" s="4">
        <f>IFERROR(AVERAGEIFS(Mesures!$H:$H,Mesures!$F:$F,$A31,Mesures!$C:$C,BA$2),"")</f>
        <v/>
      </c>
      <c r="BB31" s="4">
        <f>IFERROR(AVERAGEIFS(Mesures!$H:$H,Mesures!$F:$F,$A31,Mesures!$C:$C,BB$2),"")</f>
        <v/>
      </c>
      <c r="BC31" s="4">
        <f>IFERROR(AVERAGEIFS(Mesures!$H:$H,Mesures!$F:$F,$A31,Mesures!$C:$C,BC$2),"")</f>
        <v/>
      </c>
      <c r="BD31" s="4">
        <f>IFERROR(AVERAGEIFS(Mesures!$H:$H,Mesures!$F:$F,$A31,Mesures!$C:$C,BD$2),"")</f>
        <v/>
      </c>
      <c r="BE31" s="4">
        <f>IFERROR(AVERAGEIFS(Mesures!$H:$H,Mesures!$F:$F,$A31,Mesures!$C:$C,BE$2),"")</f>
        <v/>
      </c>
      <c r="BF31" s="4">
        <f>IFERROR(AVERAGEIFS(Mesures!$H:$H,Mesures!$F:$F,$A31,Mesures!$C:$C,BF$2),"")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  <c r="AH32" s="4">
        <f>IFERROR(AVERAGEIFS(Mesures!$H:$H,Mesures!$F:$F,$A32,Mesures!$C:$C,AH$2),"")</f>
        <v/>
      </c>
      <c r="AI32" s="4">
        <f>IFERROR(AVERAGEIFS(Mesures!$H:$H,Mesures!$F:$F,$A32,Mesures!$C:$C,AI$2),"")</f>
        <v/>
      </c>
      <c r="AJ32" s="4">
        <f>IFERROR(AVERAGEIFS(Mesures!$H:$H,Mesures!$F:$F,$A32,Mesures!$C:$C,AJ$2),"")</f>
        <v/>
      </c>
      <c r="AK32" s="4">
        <f>IFERROR(AVERAGEIFS(Mesures!$H:$H,Mesures!$F:$F,$A32,Mesures!$C:$C,AK$2),"")</f>
        <v/>
      </c>
      <c r="AL32" s="4">
        <f>IFERROR(AVERAGEIFS(Mesures!$H:$H,Mesures!$F:$F,$A32,Mesures!$C:$C,AL$2),"")</f>
        <v/>
      </c>
      <c r="AM32" s="4">
        <f>IFERROR(AVERAGEIFS(Mesures!$H:$H,Mesures!$F:$F,$A32,Mesures!$C:$C,AM$2),"")</f>
        <v/>
      </c>
      <c r="AN32" s="4">
        <f>IFERROR(AVERAGEIFS(Mesures!$H:$H,Mesures!$F:$F,$A32,Mesures!$C:$C,AN$2),"")</f>
        <v/>
      </c>
      <c r="AO32" s="4">
        <f>IFERROR(AVERAGEIFS(Mesures!$H:$H,Mesures!$F:$F,$A32,Mesures!$C:$C,AO$2),"")</f>
        <v/>
      </c>
      <c r="AP32" s="4">
        <f>IFERROR(AVERAGEIFS(Mesures!$H:$H,Mesures!$F:$F,$A32,Mesures!$C:$C,AP$2),"")</f>
        <v/>
      </c>
      <c r="AQ32" s="4">
        <f>IFERROR(AVERAGEIFS(Mesures!$H:$H,Mesures!$F:$F,$A32,Mesures!$C:$C,AQ$2),"")</f>
        <v/>
      </c>
      <c r="AR32" s="4">
        <f>IFERROR(AVERAGEIFS(Mesures!$H:$H,Mesures!$F:$F,$A32,Mesures!$C:$C,AR$2),"")</f>
        <v/>
      </c>
      <c r="AS32" s="4">
        <f>IFERROR(AVERAGEIFS(Mesures!$H:$H,Mesures!$F:$F,$A32,Mesures!$C:$C,AS$2),"")</f>
        <v/>
      </c>
      <c r="AT32" s="4">
        <f>IFERROR(AVERAGEIFS(Mesures!$H:$H,Mesures!$F:$F,$A32,Mesures!$C:$C,AT$2),"")</f>
        <v/>
      </c>
      <c r="AU32" s="4">
        <f>IFERROR(AVERAGEIFS(Mesures!$H:$H,Mesures!$F:$F,$A32,Mesures!$C:$C,AU$2),"")</f>
        <v/>
      </c>
      <c r="AV32" s="4">
        <f>IFERROR(AVERAGEIFS(Mesures!$H:$H,Mesures!$F:$F,$A32,Mesures!$C:$C,AV$2),"")</f>
        <v/>
      </c>
      <c r="AW32" s="4">
        <f>IFERROR(AVERAGEIFS(Mesures!$H:$H,Mesures!$F:$F,$A32,Mesures!$C:$C,AW$2),"")</f>
        <v/>
      </c>
      <c r="AX32" s="4">
        <f>IFERROR(AVERAGEIFS(Mesures!$H:$H,Mesures!$F:$F,$A32,Mesures!$C:$C,AX$2),"")</f>
        <v/>
      </c>
      <c r="AY32" s="4">
        <f>IFERROR(AVERAGEIFS(Mesures!$H:$H,Mesures!$F:$F,$A32,Mesures!$C:$C,AY$2),"")</f>
        <v/>
      </c>
      <c r="AZ32" s="4">
        <f>IFERROR(AVERAGEIFS(Mesures!$H:$H,Mesures!$F:$F,$A32,Mesures!$C:$C,AZ$2),"")</f>
        <v/>
      </c>
      <c r="BA32" s="4">
        <f>IFERROR(AVERAGEIFS(Mesures!$H:$H,Mesures!$F:$F,$A32,Mesures!$C:$C,BA$2),"")</f>
        <v/>
      </c>
      <c r="BB32" s="4">
        <f>IFERROR(AVERAGEIFS(Mesures!$H:$H,Mesures!$F:$F,$A32,Mesures!$C:$C,BB$2),"")</f>
        <v/>
      </c>
      <c r="BC32" s="4">
        <f>IFERROR(AVERAGEIFS(Mesures!$H:$H,Mesures!$F:$F,$A32,Mesures!$C:$C,BC$2),"")</f>
        <v/>
      </c>
      <c r="BD32" s="4">
        <f>IFERROR(AVERAGEIFS(Mesures!$H:$H,Mesures!$F:$F,$A32,Mesures!$C:$C,BD$2),"")</f>
        <v/>
      </c>
      <c r="BE32" s="4">
        <f>IFERROR(AVERAGEIFS(Mesures!$H:$H,Mesures!$F:$F,$A32,Mesures!$C:$C,BE$2),"")</f>
        <v/>
      </c>
      <c r="BF32" s="4">
        <f>IFERROR(AVERAGEIFS(Mesures!$H:$H,Mesures!$F:$F,$A32,Mesures!$C:$C,BF$2),"")</f>
        <v/>
      </c>
    </row>
    <row r="33">
      <c r="A33" s="2" t="inlineStr">
        <is>
          <t>I1 ILDA nappes (banque Nappes) / public</t>
        </is>
      </c>
      <c r="B33" s="4">
        <f>IFERROR(AVERAGEIFS(Mesures!$H:$H,Mesures!$F:$F,$A33,Mesures!$C:$C,B$2),"")</f>
        <v/>
      </c>
      <c r="C33" s="4">
        <f>IFERROR(AVERAGEIFS(Mesures!$H:$H,Mesures!$F:$F,$A33,Mesures!$C:$C,C$2),"")</f>
        <v/>
      </c>
      <c r="D33" s="4">
        <f>IFERROR(AVERAGEIFS(Mesures!$H:$H,Mesures!$F:$F,$A33,Mesures!$C:$C,D$2),"")</f>
        <v/>
      </c>
      <c r="E33" s="4">
        <f>IFERROR(AVERAGEIFS(Mesures!$H:$H,Mesures!$F:$F,$A33,Mesures!$C:$C,E$2),"")</f>
        <v/>
      </c>
      <c r="F33" s="4">
        <f>IFERROR(AVERAGEIFS(Mesures!$H:$H,Mesures!$F:$F,$A33,Mesures!$C:$C,F$2),"")</f>
        <v/>
      </c>
      <c r="G33" s="4">
        <f>IFERROR(AVERAGEIFS(Mesures!$H:$H,Mesures!$F:$F,$A33,Mesures!$C:$C,G$2),"")</f>
        <v/>
      </c>
      <c r="H33" s="4">
        <f>IFERROR(AVERAGEIFS(Mesures!$H:$H,Mesures!$F:$F,$A33,Mesures!$C:$C,H$2),"")</f>
        <v/>
      </c>
      <c r="I33" s="4">
        <f>IFERROR(AVERAGEIFS(Mesures!$H:$H,Mesures!$F:$F,$A33,Mesures!$C:$C,I$2),"")</f>
        <v/>
      </c>
      <c r="J33" s="4">
        <f>IFERROR(AVERAGEIFS(Mesures!$H:$H,Mesures!$F:$F,$A33,Mesures!$C:$C,J$2),"")</f>
        <v/>
      </c>
      <c r="K33" s="4">
        <f>IFERROR(AVERAGEIFS(Mesures!$H:$H,Mesures!$F:$F,$A33,Mesures!$C:$C,K$2),"")</f>
        <v/>
      </c>
      <c r="L33" s="4">
        <f>IFERROR(AVERAGEIFS(Mesures!$H:$H,Mesures!$F:$F,$A33,Mesures!$C:$C,L$2),"")</f>
        <v/>
      </c>
      <c r="M33" s="4">
        <f>IFERROR(AVERAGEIFS(Mesures!$H:$H,Mesures!$F:$F,$A33,Mesures!$C:$C,M$2),"")</f>
        <v/>
      </c>
      <c r="N33" s="4">
        <f>IFERROR(AVERAGEIFS(Mesures!$H:$H,Mesures!$F:$F,$A33,Mesures!$C:$C,N$2),"")</f>
        <v/>
      </c>
      <c r="O33" s="4">
        <f>IFERROR(AVERAGEIFS(Mesures!$H:$H,Mesures!$F:$F,$A33,Mesures!$C:$C,O$2),"")</f>
        <v/>
      </c>
      <c r="P33" s="4">
        <f>IFERROR(AVERAGEIFS(Mesures!$H:$H,Mesures!$F:$F,$A33,Mesures!$C:$C,P$2),"")</f>
        <v/>
      </c>
      <c r="Q33" s="4">
        <f>IFERROR(AVERAGEIFS(Mesures!$H:$H,Mesures!$F:$F,$A33,Mesures!$C:$C,Q$2),"")</f>
        <v/>
      </c>
      <c r="R33" s="4">
        <f>IFERROR(AVERAGEIFS(Mesures!$H:$H,Mesures!$F:$F,$A33,Mesures!$C:$C,R$2),"")</f>
        <v/>
      </c>
      <c r="S33" s="4">
        <f>IFERROR(AVERAGEIFS(Mesures!$H:$H,Mesures!$F:$F,$A33,Mesures!$C:$C,S$2),"")</f>
        <v/>
      </c>
      <c r="T33" s="4">
        <f>IFERROR(AVERAGEIFS(Mesures!$H:$H,Mesures!$F:$F,$A33,Mesures!$C:$C,T$2),"")</f>
        <v/>
      </c>
      <c r="U33" s="4">
        <f>IFERROR(AVERAGEIFS(Mesures!$H:$H,Mesures!$F:$F,$A33,Mesures!$C:$C,U$2),"")</f>
        <v/>
      </c>
      <c r="V33" s="4">
        <f>IFERROR(AVERAGEIFS(Mesures!$H:$H,Mesures!$F:$F,$A33,Mesures!$C:$C,V$2),"")</f>
        <v/>
      </c>
      <c r="W33" s="4">
        <f>IFERROR(AVERAGEIFS(Mesures!$H:$H,Mesures!$F:$F,$A33,Mesures!$C:$C,W$2),"")</f>
        <v/>
      </c>
      <c r="X33" s="4">
        <f>IFERROR(AVERAGEIFS(Mesures!$H:$H,Mesures!$F:$F,$A33,Mesures!$C:$C,X$2),"")</f>
        <v/>
      </c>
      <c r="Y33" s="4">
        <f>IFERROR(AVERAGEIFS(Mesures!$H:$H,Mesures!$F:$F,$A33,Mesures!$C:$C,Y$2),"")</f>
        <v/>
      </c>
      <c r="Z33" s="4">
        <f>IFERROR(AVERAGEIFS(Mesures!$H:$H,Mesures!$F:$F,$A33,Mesures!$C:$C,Z$2),"")</f>
        <v/>
      </c>
      <c r="AA33" s="4">
        <f>IFERROR(AVERAGEIFS(Mesures!$H:$H,Mesures!$F:$F,$A33,Mesures!$C:$C,AA$2),"")</f>
        <v/>
      </c>
      <c r="AB33" s="4">
        <f>IFERROR(AVERAGEIFS(Mesures!$H:$H,Mesures!$F:$F,$A33,Mesures!$C:$C,AB$2),"")</f>
        <v/>
      </c>
      <c r="AC33" s="4">
        <f>IFERROR(AVERAGEIFS(Mesures!$H:$H,Mesures!$F:$F,$A33,Mesures!$C:$C,AC$2),"")</f>
        <v/>
      </c>
      <c r="AD33" s="4">
        <f>IFERROR(AVERAGEIFS(Mesures!$H:$H,Mesures!$F:$F,$A33,Mesures!$C:$C,AD$2),"")</f>
        <v/>
      </c>
      <c r="AE33" s="4">
        <f>IFERROR(AVERAGEIFS(Mesures!$H:$H,Mesures!$F:$F,$A33,Mesures!$C:$C,AE$2),"")</f>
        <v/>
      </c>
      <c r="AF33" s="4">
        <f>IFERROR(AVERAGEIFS(Mesures!$H:$H,Mesures!$F:$F,$A33,Mesures!$C:$C,AF$2),"")</f>
        <v/>
      </c>
      <c r="AG33" s="4">
        <f>IFERROR(AVERAGEIFS(Mesures!$H:$H,Mesures!$F:$F,$A33,Mesures!$C:$C,AG$2),"")</f>
        <v/>
      </c>
      <c r="AH33" s="4">
        <f>IFERROR(AVERAGEIFS(Mesures!$H:$H,Mesures!$F:$F,$A33,Mesures!$C:$C,AH$2),"")</f>
        <v/>
      </c>
      <c r="AI33" s="4">
        <f>IFERROR(AVERAGEIFS(Mesures!$H:$H,Mesures!$F:$F,$A33,Mesures!$C:$C,AI$2),"")</f>
        <v/>
      </c>
      <c r="AJ33" s="4">
        <f>IFERROR(AVERAGEIFS(Mesures!$H:$H,Mesures!$F:$F,$A33,Mesures!$C:$C,AJ$2),"")</f>
        <v/>
      </c>
      <c r="AK33" s="4">
        <f>IFERROR(AVERAGEIFS(Mesures!$H:$H,Mesures!$F:$F,$A33,Mesures!$C:$C,AK$2),"")</f>
        <v/>
      </c>
      <c r="AL33" s="4">
        <f>IFERROR(AVERAGEIFS(Mesures!$H:$H,Mesures!$F:$F,$A33,Mesures!$C:$C,AL$2),"")</f>
        <v/>
      </c>
      <c r="AM33" s="4">
        <f>IFERROR(AVERAGEIFS(Mesures!$H:$H,Mesures!$F:$F,$A33,Mesures!$C:$C,AM$2),"")</f>
        <v/>
      </c>
      <c r="AN33" s="4">
        <f>IFERROR(AVERAGEIFS(Mesures!$H:$H,Mesures!$F:$F,$A33,Mesures!$C:$C,AN$2),"")</f>
        <v/>
      </c>
      <c r="AO33" s="4">
        <f>IFERROR(AVERAGEIFS(Mesures!$H:$H,Mesures!$F:$F,$A33,Mesures!$C:$C,AO$2),"")</f>
        <v/>
      </c>
      <c r="AP33" s="4">
        <f>IFERROR(AVERAGEIFS(Mesures!$H:$H,Mesures!$F:$F,$A33,Mesures!$C:$C,AP$2),"")</f>
        <v/>
      </c>
      <c r="AQ33" s="4">
        <f>IFERROR(AVERAGEIFS(Mesures!$H:$H,Mesures!$F:$F,$A33,Mesures!$C:$C,AQ$2),"")</f>
        <v/>
      </c>
      <c r="AR33" s="4">
        <f>IFERROR(AVERAGEIFS(Mesures!$H:$H,Mesures!$F:$F,$A33,Mesures!$C:$C,AR$2),"")</f>
        <v/>
      </c>
      <c r="AS33" s="4">
        <f>IFERROR(AVERAGEIFS(Mesures!$H:$H,Mesures!$F:$F,$A33,Mesures!$C:$C,AS$2),"")</f>
        <v/>
      </c>
      <c r="AT33" s="4">
        <f>IFERROR(AVERAGEIFS(Mesures!$H:$H,Mesures!$F:$F,$A33,Mesures!$C:$C,AT$2),"")</f>
        <v/>
      </c>
      <c r="AU33" s="4">
        <f>IFERROR(AVERAGEIFS(Mesures!$H:$H,Mesures!$F:$F,$A33,Mesures!$C:$C,AU$2),"")</f>
        <v/>
      </c>
      <c r="AV33" s="4">
        <f>IFERROR(AVERAGEIFS(Mesures!$H:$H,Mesures!$F:$F,$A33,Mesures!$C:$C,AV$2),"")</f>
        <v/>
      </c>
      <c r="AW33" s="4">
        <f>IFERROR(AVERAGEIFS(Mesures!$H:$H,Mesures!$F:$F,$A33,Mesures!$C:$C,AW$2),"")</f>
        <v/>
      </c>
      <c r="AX33" s="4">
        <f>IFERROR(AVERAGEIFS(Mesures!$H:$H,Mesures!$F:$F,$A33,Mesures!$C:$C,AX$2),"")</f>
        <v/>
      </c>
      <c r="AY33" s="4">
        <f>IFERROR(AVERAGEIFS(Mesures!$H:$H,Mesures!$F:$F,$A33,Mesures!$C:$C,AY$2),"")</f>
        <v/>
      </c>
      <c r="AZ33" s="4">
        <f>IFERROR(AVERAGEIFS(Mesures!$H:$H,Mesures!$F:$F,$A33,Mesures!$C:$C,AZ$2),"")</f>
        <v/>
      </c>
      <c r="BA33" s="4">
        <f>IFERROR(AVERAGEIFS(Mesures!$H:$H,Mesures!$F:$F,$A33,Mesures!$C:$C,BA$2),"")</f>
        <v/>
      </c>
      <c r="BB33" s="4">
        <f>IFERROR(AVERAGEIFS(Mesures!$H:$H,Mesures!$F:$F,$A33,Mesures!$C:$C,BB$2),"")</f>
        <v/>
      </c>
      <c r="BC33" s="4">
        <f>IFERROR(AVERAGEIFS(Mesures!$H:$H,Mesures!$F:$F,$A33,Mesures!$C:$C,BC$2),"")</f>
        <v/>
      </c>
      <c r="BD33" s="4">
        <f>IFERROR(AVERAGEIFS(Mesures!$H:$H,Mesures!$F:$F,$A33,Mesures!$C:$C,BD$2),"")</f>
        <v/>
      </c>
      <c r="BE33" s="4">
        <f>IFERROR(AVERAGEIFS(Mesures!$H:$H,Mesures!$F:$F,$A33,Mesures!$C:$C,BE$2),"")</f>
        <v/>
      </c>
      <c r="BF33" s="4">
        <f>IFERROR(AVERAGEIFS(Mesures!$H:$H,Mesures!$F:$F,$A33,Mesures!$C:$C,BF$2),"")</f>
        <v/>
      </c>
    </row>
    <row r="34">
      <c r="A34" s="2" t="inlineStr">
        <is>
          <t>I2 ILDA faisceaux (banque Faisceaux) / public</t>
        </is>
      </c>
      <c r="B34" s="4">
        <f>IFERROR(AVERAGEIFS(Mesures!$H:$H,Mesures!$F:$F,$A34,Mesures!$C:$C,B$2),"")</f>
        <v/>
      </c>
      <c r="C34" s="4">
        <f>IFERROR(AVERAGEIFS(Mesures!$H:$H,Mesures!$F:$F,$A34,Mesures!$C:$C,C$2),"")</f>
        <v/>
      </c>
      <c r="D34" s="4">
        <f>IFERROR(AVERAGEIFS(Mesures!$H:$H,Mesures!$F:$F,$A34,Mesures!$C:$C,D$2),"")</f>
        <v/>
      </c>
      <c r="E34" s="4">
        <f>IFERROR(AVERAGEIFS(Mesures!$H:$H,Mesures!$F:$F,$A34,Mesures!$C:$C,E$2),"")</f>
        <v/>
      </c>
      <c r="F34" s="4">
        <f>IFERROR(AVERAGEIFS(Mesures!$H:$H,Mesures!$F:$F,$A34,Mesures!$C:$C,F$2),"")</f>
        <v/>
      </c>
      <c r="G34" s="4">
        <f>IFERROR(AVERAGEIFS(Mesures!$H:$H,Mesures!$F:$F,$A34,Mesures!$C:$C,G$2),"")</f>
        <v/>
      </c>
      <c r="H34" s="4">
        <f>IFERROR(AVERAGEIFS(Mesures!$H:$H,Mesures!$F:$F,$A34,Mesures!$C:$C,H$2),"")</f>
        <v/>
      </c>
      <c r="I34" s="4">
        <f>IFERROR(AVERAGEIFS(Mesures!$H:$H,Mesures!$F:$F,$A34,Mesures!$C:$C,I$2),"")</f>
        <v/>
      </c>
      <c r="J34" s="4">
        <f>IFERROR(AVERAGEIFS(Mesures!$H:$H,Mesures!$F:$F,$A34,Mesures!$C:$C,J$2),"")</f>
        <v/>
      </c>
      <c r="K34" s="4">
        <f>IFERROR(AVERAGEIFS(Mesures!$H:$H,Mesures!$F:$F,$A34,Mesures!$C:$C,K$2),"")</f>
        <v/>
      </c>
      <c r="L34" s="4">
        <f>IFERROR(AVERAGEIFS(Mesures!$H:$H,Mesures!$F:$F,$A34,Mesures!$C:$C,L$2),"")</f>
        <v/>
      </c>
      <c r="M34" s="4">
        <f>IFERROR(AVERAGEIFS(Mesures!$H:$H,Mesures!$F:$F,$A34,Mesures!$C:$C,M$2),"")</f>
        <v/>
      </c>
      <c r="N34" s="4">
        <f>IFERROR(AVERAGEIFS(Mesures!$H:$H,Mesures!$F:$F,$A34,Mesures!$C:$C,N$2),"")</f>
        <v/>
      </c>
      <c r="O34" s="4">
        <f>IFERROR(AVERAGEIFS(Mesures!$H:$H,Mesures!$F:$F,$A34,Mesures!$C:$C,O$2),"")</f>
        <v/>
      </c>
      <c r="P34" s="4">
        <f>IFERROR(AVERAGEIFS(Mesures!$H:$H,Mesures!$F:$F,$A34,Mesures!$C:$C,P$2),"")</f>
        <v/>
      </c>
      <c r="Q34" s="4">
        <f>IFERROR(AVERAGEIFS(Mesures!$H:$H,Mesures!$F:$F,$A34,Mesures!$C:$C,Q$2),"")</f>
        <v/>
      </c>
      <c r="R34" s="4">
        <f>IFERROR(AVERAGEIFS(Mesures!$H:$H,Mesures!$F:$F,$A34,Mesures!$C:$C,R$2),"")</f>
        <v/>
      </c>
      <c r="S34" s="4">
        <f>IFERROR(AVERAGEIFS(Mesures!$H:$H,Mesures!$F:$F,$A34,Mesures!$C:$C,S$2),"")</f>
        <v/>
      </c>
      <c r="T34" s="4">
        <f>IFERROR(AVERAGEIFS(Mesures!$H:$H,Mesures!$F:$F,$A34,Mesures!$C:$C,T$2),"")</f>
        <v/>
      </c>
      <c r="U34" s="4">
        <f>IFERROR(AVERAGEIFS(Mesures!$H:$H,Mesures!$F:$F,$A34,Mesures!$C:$C,U$2),"")</f>
        <v/>
      </c>
      <c r="V34" s="4">
        <f>IFERROR(AVERAGEIFS(Mesures!$H:$H,Mesures!$F:$F,$A34,Mesures!$C:$C,V$2),"")</f>
        <v/>
      </c>
      <c r="W34" s="4">
        <f>IFERROR(AVERAGEIFS(Mesures!$H:$H,Mesures!$F:$F,$A34,Mesures!$C:$C,W$2),"")</f>
        <v/>
      </c>
      <c r="X34" s="4">
        <f>IFERROR(AVERAGEIFS(Mesures!$H:$H,Mesures!$F:$F,$A34,Mesures!$C:$C,X$2),"")</f>
        <v/>
      </c>
      <c r="Y34" s="4">
        <f>IFERROR(AVERAGEIFS(Mesures!$H:$H,Mesures!$F:$F,$A34,Mesures!$C:$C,Y$2),"")</f>
        <v/>
      </c>
      <c r="Z34" s="4">
        <f>IFERROR(AVERAGEIFS(Mesures!$H:$H,Mesures!$F:$F,$A34,Mesures!$C:$C,Z$2),"")</f>
        <v/>
      </c>
      <c r="AA34" s="4">
        <f>IFERROR(AVERAGEIFS(Mesures!$H:$H,Mesures!$F:$F,$A34,Mesures!$C:$C,AA$2),"")</f>
        <v/>
      </c>
      <c r="AB34" s="4">
        <f>IFERROR(AVERAGEIFS(Mesures!$H:$H,Mesures!$F:$F,$A34,Mesures!$C:$C,AB$2),"")</f>
        <v/>
      </c>
      <c r="AC34" s="4">
        <f>IFERROR(AVERAGEIFS(Mesures!$H:$H,Mesures!$F:$F,$A34,Mesures!$C:$C,AC$2),"")</f>
        <v/>
      </c>
      <c r="AD34" s="4">
        <f>IFERROR(AVERAGEIFS(Mesures!$H:$H,Mesures!$F:$F,$A34,Mesures!$C:$C,AD$2),"")</f>
        <v/>
      </c>
      <c r="AE34" s="4">
        <f>IFERROR(AVERAGEIFS(Mesures!$H:$H,Mesures!$F:$F,$A34,Mesures!$C:$C,AE$2),"")</f>
        <v/>
      </c>
      <c r="AF34" s="4">
        <f>IFERROR(AVERAGEIFS(Mesures!$H:$H,Mesures!$F:$F,$A34,Mesures!$C:$C,AF$2),"")</f>
        <v/>
      </c>
      <c r="AG34" s="4">
        <f>IFERROR(AVERAGEIFS(Mesures!$H:$H,Mesures!$F:$F,$A34,Mesures!$C:$C,AG$2),"")</f>
        <v/>
      </c>
      <c r="AH34" s="4">
        <f>IFERROR(AVERAGEIFS(Mesures!$H:$H,Mesures!$F:$F,$A34,Mesures!$C:$C,AH$2),"")</f>
        <v/>
      </c>
      <c r="AI34" s="4">
        <f>IFERROR(AVERAGEIFS(Mesures!$H:$H,Mesures!$F:$F,$A34,Mesures!$C:$C,AI$2),"")</f>
        <v/>
      </c>
      <c r="AJ34" s="4">
        <f>IFERROR(AVERAGEIFS(Mesures!$H:$H,Mesures!$F:$F,$A34,Mesures!$C:$C,AJ$2),"")</f>
        <v/>
      </c>
      <c r="AK34" s="4">
        <f>IFERROR(AVERAGEIFS(Mesures!$H:$H,Mesures!$F:$F,$A34,Mesures!$C:$C,AK$2),"")</f>
        <v/>
      </c>
      <c r="AL34" s="4">
        <f>IFERROR(AVERAGEIFS(Mesures!$H:$H,Mesures!$F:$F,$A34,Mesures!$C:$C,AL$2),"")</f>
        <v/>
      </c>
      <c r="AM34" s="4">
        <f>IFERROR(AVERAGEIFS(Mesures!$H:$H,Mesures!$F:$F,$A34,Mesures!$C:$C,AM$2),"")</f>
        <v/>
      </c>
      <c r="AN34" s="4">
        <f>IFERROR(AVERAGEIFS(Mesures!$H:$H,Mesures!$F:$F,$A34,Mesures!$C:$C,AN$2),"")</f>
        <v/>
      </c>
      <c r="AO34" s="4">
        <f>IFERROR(AVERAGEIFS(Mesures!$H:$H,Mesures!$F:$F,$A34,Mesures!$C:$C,AO$2),"")</f>
        <v/>
      </c>
      <c r="AP34" s="4">
        <f>IFERROR(AVERAGEIFS(Mesures!$H:$H,Mesures!$F:$F,$A34,Mesures!$C:$C,AP$2),"")</f>
        <v/>
      </c>
      <c r="AQ34" s="4">
        <f>IFERROR(AVERAGEIFS(Mesures!$H:$H,Mesures!$F:$F,$A34,Mesures!$C:$C,AQ$2),"")</f>
        <v/>
      </c>
      <c r="AR34" s="4">
        <f>IFERROR(AVERAGEIFS(Mesures!$H:$H,Mesures!$F:$F,$A34,Mesures!$C:$C,AR$2),"")</f>
        <v/>
      </c>
      <c r="AS34" s="4">
        <f>IFERROR(AVERAGEIFS(Mesures!$H:$H,Mesures!$F:$F,$A34,Mesures!$C:$C,AS$2),"")</f>
        <v/>
      </c>
      <c r="AT34" s="4">
        <f>IFERROR(AVERAGEIFS(Mesures!$H:$H,Mesures!$F:$F,$A34,Mesures!$C:$C,AT$2),"")</f>
        <v/>
      </c>
      <c r="AU34" s="4">
        <f>IFERROR(AVERAGEIFS(Mesures!$H:$H,Mesures!$F:$F,$A34,Mesures!$C:$C,AU$2),"")</f>
        <v/>
      </c>
      <c r="AV34" s="4">
        <f>IFERROR(AVERAGEIFS(Mesures!$H:$H,Mesures!$F:$F,$A34,Mesures!$C:$C,AV$2),"")</f>
        <v/>
      </c>
      <c r="AW34" s="4">
        <f>IFERROR(AVERAGEIFS(Mesures!$H:$H,Mesures!$F:$F,$A34,Mesures!$C:$C,AW$2),"")</f>
        <v/>
      </c>
      <c r="AX34" s="4">
        <f>IFERROR(AVERAGEIFS(Mesures!$H:$H,Mesures!$F:$F,$A34,Mesures!$C:$C,AX$2),"")</f>
        <v/>
      </c>
      <c r="AY34" s="4">
        <f>IFERROR(AVERAGEIFS(Mesures!$H:$H,Mesures!$F:$F,$A34,Mesures!$C:$C,AY$2),"")</f>
        <v/>
      </c>
      <c r="AZ34" s="4">
        <f>IFERROR(AVERAGEIFS(Mesures!$H:$H,Mesures!$F:$F,$A34,Mesures!$C:$C,AZ$2),"")</f>
        <v/>
      </c>
      <c r="BA34" s="4">
        <f>IFERROR(AVERAGEIFS(Mesures!$H:$H,Mesures!$F:$F,$A34,Mesures!$C:$C,BA$2),"")</f>
        <v/>
      </c>
      <c r="BB34" s="4">
        <f>IFERROR(AVERAGEIFS(Mesures!$H:$H,Mesures!$F:$F,$A34,Mesures!$C:$C,BB$2),"")</f>
        <v/>
      </c>
      <c r="BC34" s="4">
        <f>IFERROR(AVERAGEIFS(Mesures!$H:$H,Mesures!$F:$F,$A34,Mesures!$C:$C,BC$2),"")</f>
        <v/>
      </c>
      <c r="BD34" s="4">
        <f>IFERROR(AVERAGEIFS(Mesures!$H:$H,Mesures!$F:$F,$A34,Mesures!$C:$C,BD$2),"")</f>
        <v/>
      </c>
      <c r="BE34" s="4">
        <f>IFERROR(AVERAGEIFS(Mesures!$H:$H,Mesures!$F:$F,$A34,Mesures!$C:$C,BE$2),"")</f>
        <v/>
      </c>
      <c r="BF34" s="4">
        <f>IFERROR(AVERAGEIFS(Mesures!$H:$H,Mesures!$F:$F,$A34,Mesures!$C:$C,BF$2),"")</f>
        <v/>
      </c>
    </row>
    <row r="35">
      <c r="A35" s="2" t="inlineStr">
        <is>
          <t>I3 ILDA geometrie (banque Geometrie) / public</t>
        </is>
      </c>
      <c r="B35" s="4">
        <f>IFERROR(AVERAGEIFS(Mesures!$H:$H,Mesures!$F:$F,$A35,Mesures!$C:$C,B$2),"")</f>
        <v/>
      </c>
      <c r="C35" s="4">
        <f>IFERROR(AVERAGEIFS(Mesures!$H:$H,Mesures!$F:$F,$A35,Mesures!$C:$C,C$2),"")</f>
        <v/>
      </c>
      <c r="D35" s="4">
        <f>IFERROR(AVERAGEIFS(Mesures!$H:$H,Mesures!$F:$F,$A35,Mesures!$C:$C,D$2),"")</f>
        <v/>
      </c>
      <c r="E35" s="4">
        <f>IFERROR(AVERAGEIFS(Mesures!$H:$H,Mesures!$F:$F,$A35,Mesures!$C:$C,E$2),"")</f>
        <v/>
      </c>
      <c r="F35" s="4">
        <f>IFERROR(AVERAGEIFS(Mesures!$H:$H,Mesures!$F:$F,$A35,Mesures!$C:$C,F$2),"")</f>
        <v/>
      </c>
      <c r="G35" s="4">
        <f>IFERROR(AVERAGEIFS(Mesures!$H:$H,Mesures!$F:$F,$A35,Mesures!$C:$C,G$2),"")</f>
        <v/>
      </c>
      <c r="H35" s="4">
        <f>IFERROR(AVERAGEIFS(Mesures!$H:$H,Mesures!$F:$F,$A35,Mesures!$C:$C,H$2),"")</f>
        <v/>
      </c>
      <c r="I35" s="4">
        <f>IFERROR(AVERAGEIFS(Mesures!$H:$H,Mesures!$F:$F,$A35,Mesures!$C:$C,I$2),"")</f>
        <v/>
      </c>
      <c r="J35" s="4">
        <f>IFERROR(AVERAGEIFS(Mesures!$H:$H,Mesures!$F:$F,$A35,Mesures!$C:$C,J$2),"")</f>
        <v/>
      </c>
      <c r="K35" s="4">
        <f>IFERROR(AVERAGEIFS(Mesures!$H:$H,Mesures!$F:$F,$A35,Mesures!$C:$C,K$2),"")</f>
        <v/>
      </c>
      <c r="L35" s="4">
        <f>IFERROR(AVERAGEIFS(Mesures!$H:$H,Mesures!$F:$F,$A35,Mesures!$C:$C,L$2),"")</f>
        <v/>
      </c>
      <c r="M35" s="4">
        <f>IFERROR(AVERAGEIFS(Mesures!$H:$H,Mesures!$F:$F,$A35,Mesures!$C:$C,M$2),"")</f>
        <v/>
      </c>
      <c r="N35" s="4">
        <f>IFERROR(AVERAGEIFS(Mesures!$H:$H,Mesures!$F:$F,$A35,Mesures!$C:$C,N$2),"")</f>
        <v/>
      </c>
      <c r="O35" s="4">
        <f>IFERROR(AVERAGEIFS(Mesures!$H:$H,Mesures!$F:$F,$A35,Mesures!$C:$C,O$2),"")</f>
        <v/>
      </c>
      <c r="P35" s="4">
        <f>IFERROR(AVERAGEIFS(Mesures!$H:$H,Mesures!$F:$F,$A35,Mesures!$C:$C,P$2),"")</f>
        <v/>
      </c>
      <c r="Q35" s="4">
        <f>IFERROR(AVERAGEIFS(Mesures!$H:$H,Mesures!$F:$F,$A35,Mesures!$C:$C,Q$2),"")</f>
        <v/>
      </c>
      <c r="R35" s="4">
        <f>IFERROR(AVERAGEIFS(Mesures!$H:$H,Mesures!$F:$F,$A35,Mesures!$C:$C,R$2),"")</f>
        <v/>
      </c>
      <c r="S35" s="4">
        <f>IFERROR(AVERAGEIFS(Mesures!$H:$H,Mesures!$F:$F,$A35,Mesures!$C:$C,S$2),"")</f>
        <v/>
      </c>
      <c r="T35" s="4">
        <f>IFERROR(AVERAGEIFS(Mesures!$H:$H,Mesures!$F:$F,$A35,Mesures!$C:$C,T$2),"")</f>
        <v/>
      </c>
      <c r="U35" s="4">
        <f>IFERROR(AVERAGEIFS(Mesures!$H:$H,Mesures!$F:$F,$A35,Mesures!$C:$C,U$2),"")</f>
        <v/>
      </c>
      <c r="V35" s="4">
        <f>IFERROR(AVERAGEIFS(Mesures!$H:$H,Mesures!$F:$F,$A35,Mesures!$C:$C,V$2),"")</f>
        <v/>
      </c>
      <c r="W35" s="4">
        <f>IFERROR(AVERAGEIFS(Mesures!$H:$H,Mesures!$F:$F,$A35,Mesures!$C:$C,W$2),"")</f>
        <v/>
      </c>
      <c r="X35" s="4">
        <f>IFERROR(AVERAGEIFS(Mesures!$H:$H,Mesures!$F:$F,$A35,Mesures!$C:$C,X$2),"")</f>
        <v/>
      </c>
      <c r="Y35" s="4">
        <f>IFERROR(AVERAGEIFS(Mesures!$H:$H,Mesures!$F:$F,$A35,Mesures!$C:$C,Y$2),"")</f>
        <v/>
      </c>
      <c r="Z35" s="4">
        <f>IFERROR(AVERAGEIFS(Mesures!$H:$H,Mesures!$F:$F,$A35,Mesures!$C:$C,Z$2),"")</f>
        <v/>
      </c>
      <c r="AA35" s="4">
        <f>IFERROR(AVERAGEIFS(Mesures!$H:$H,Mesures!$F:$F,$A35,Mesures!$C:$C,AA$2),"")</f>
        <v/>
      </c>
      <c r="AB35" s="4">
        <f>IFERROR(AVERAGEIFS(Mesures!$H:$H,Mesures!$F:$F,$A35,Mesures!$C:$C,AB$2),"")</f>
        <v/>
      </c>
      <c r="AC35" s="4">
        <f>IFERROR(AVERAGEIFS(Mesures!$H:$H,Mesures!$F:$F,$A35,Mesures!$C:$C,AC$2),"")</f>
        <v/>
      </c>
      <c r="AD35" s="4">
        <f>IFERROR(AVERAGEIFS(Mesures!$H:$H,Mesures!$F:$F,$A35,Mesures!$C:$C,AD$2),"")</f>
        <v/>
      </c>
      <c r="AE35" s="4">
        <f>IFERROR(AVERAGEIFS(Mesures!$H:$H,Mesures!$F:$F,$A35,Mesures!$C:$C,AE$2),"")</f>
        <v/>
      </c>
      <c r="AF35" s="4">
        <f>IFERROR(AVERAGEIFS(Mesures!$H:$H,Mesures!$F:$F,$A35,Mesures!$C:$C,AF$2),"")</f>
        <v/>
      </c>
      <c r="AG35" s="4">
        <f>IFERROR(AVERAGEIFS(Mesures!$H:$H,Mesures!$F:$F,$A35,Mesures!$C:$C,AG$2),"")</f>
        <v/>
      </c>
      <c r="AH35" s="4">
        <f>IFERROR(AVERAGEIFS(Mesures!$H:$H,Mesures!$F:$F,$A35,Mesures!$C:$C,AH$2),"")</f>
        <v/>
      </c>
      <c r="AI35" s="4">
        <f>IFERROR(AVERAGEIFS(Mesures!$H:$H,Mesures!$F:$F,$A35,Mesures!$C:$C,AI$2),"")</f>
        <v/>
      </c>
      <c r="AJ35" s="4">
        <f>IFERROR(AVERAGEIFS(Mesures!$H:$H,Mesures!$F:$F,$A35,Mesures!$C:$C,AJ$2),"")</f>
        <v/>
      </c>
      <c r="AK35" s="4">
        <f>IFERROR(AVERAGEIFS(Mesures!$H:$H,Mesures!$F:$F,$A35,Mesures!$C:$C,AK$2),"")</f>
        <v/>
      </c>
      <c r="AL35" s="4">
        <f>IFERROR(AVERAGEIFS(Mesures!$H:$H,Mesures!$F:$F,$A35,Mesures!$C:$C,AL$2),"")</f>
        <v/>
      </c>
      <c r="AM35" s="4">
        <f>IFERROR(AVERAGEIFS(Mesures!$H:$H,Mesures!$F:$F,$A35,Mesures!$C:$C,AM$2),"")</f>
        <v/>
      </c>
      <c r="AN35" s="4">
        <f>IFERROR(AVERAGEIFS(Mesures!$H:$H,Mesures!$F:$F,$A35,Mesures!$C:$C,AN$2),"")</f>
        <v/>
      </c>
      <c r="AO35" s="4">
        <f>IFERROR(AVERAGEIFS(Mesures!$H:$H,Mesures!$F:$F,$A35,Mesures!$C:$C,AO$2),"")</f>
        <v/>
      </c>
      <c r="AP35" s="4">
        <f>IFERROR(AVERAGEIFS(Mesures!$H:$H,Mesures!$F:$F,$A35,Mesures!$C:$C,AP$2),"")</f>
        <v/>
      </c>
      <c r="AQ35" s="4">
        <f>IFERROR(AVERAGEIFS(Mesures!$H:$H,Mesures!$F:$F,$A35,Mesures!$C:$C,AQ$2),"")</f>
        <v/>
      </c>
      <c r="AR35" s="4">
        <f>IFERROR(AVERAGEIFS(Mesures!$H:$H,Mesures!$F:$F,$A35,Mesures!$C:$C,AR$2),"")</f>
        <v/>
      </c>
      <c r="AS35" s="4">
        <f>IFERROR(AVERAGEIFS(Mesures!$H:$H,Mesures!$F:$F,$A35,Mesures!$C:$C,AS$2),"")</f>
        <v/>
      </c>
      <c r="AT35" s="4">
        <f>IFERROR(AVERAGEIFS(Mesures!$H:$H,Mesures!$F:$F,$A35,Mesures!$C:$C,AT$2),"")</f>
        <v/>
      </c>
      <c r="AU35" s="4">
        <f>IFERROR(AVERAGEIFS(Mesures!$H:$H,Mesures!$F:$F,$A35,Mesures!$C:$C,AU$2),"")</f>
        <v/>
      </c>
      <c r="AV35" s="4">
        <f>IFERROR(AVERAGEIFS(Mesures!$H:$H,Mesures!$F:$F,$A35,Mesures!$C:$C,AV$2),"")</f>
        <v/>
      </c>
      <c r="AW35" s="4">
        <f>IFERROR(AVERAGEIFS(Mesures!$H:$H,Mesures!$F:$F,$A35,Mesures!$C:$C,AW$2),"")</f>
        <v/>
      </c>
      <c r="AX35" s="4">
        <f>IFERROR(AVERAGEIFS(Mesures!$H:$H,Mesures!$F:$F,$A35,Mesures!$C:$C,AX$2),"")</f>
        <v/>
      </c>
      <c r="AY35" s="4">
        <f>IFERROR(AVERAGEIFS(Mesures!$H:$H,Mesures!$F:$F,$A35,Mesures!$C:$C,AY$2),"")</f>
        <v/>
      </c>
      <c r="AZ35" s="4">
        <f>IFERROR(AVERAGEIFS(Mesures!$H:$H,Mesures!$F:$F,$A35,Mesures!$C:$C,AZ$2),"")</f>
        <v/>
      </c>
      <c r="BA35" s="4">
        <f>IFERROR(AVERAGEIFS(Mesures!$H:$H,Mesures!$F:$F,$A35,Mesures!$C:$C,BA$2),"")</f>
        <v/>
      </c>
      <c r="BB35" s="4">
        <f>IFERROR(AVERAGEIFS(Mesures!$H:$H,Mesures!$F:$F,$A35,Mesures!$C:$C,BB$2),"")</f>
        <v/>
      </c>
      <c r="BC35" s="4">
        <f>IFERROR(AVERAGEIFS(Mesures!$H:$H,Mesures!$F:$F,$A35,Mesures!$C:$C,BC$2),"")</f>
        <v/>
      </c>
      <c r="BD35" s="4">
        <f>IFERROR(AVERAGEIFS(Mesures!$H:$H,Mesures!$F:$F,$A35,Mesures!$C:$C,BD$2),"")</f>
        <v/>
      </c>
      <c r="BE35" s="4">
        <f>IFERROR(AVERAGEIFS(Mesures!$H:$H,Mesures!$F:$F,$A35,Mesures!$C:$C,BE$2),"")</f>
        <v/>
      </c>
      <c r="BF35" s="4">
        <f>IFERROR(AVERAGEIFS(Mesures!$H:$H,Mesures!$F:$F,$A35,Mesures!$C:$C,BF$2),"")</f>
        <v/>
      </c>
    </row>
    <row r="36">
      <c r="A36" s="2" t="inlineStr">
        <is>
          <t>I4 ILDA tunnels (banque Tunnels) / public</t>
        </is>
      </c>
      <c r="B36" s="4">
        <f>IFERROR(AVERAGEIFS(Mesures!$H:$H,Mesures!$F:$F,$A36,Mesures!$C:$C,B$2),"")</f>
        <v/>
      </c>
      <c r="C36" s="4">
        <f>IFERROR(AVERAGEIFS(Mesures!$H:$H,Mesures!$F:$F,$A36,Mesures!$C:$C,C$2),"")</f>
        <v/>
      </c>
      <c r="D36" s="4">
        <f>IFERROR(AVERAGEIFS(Mesures!$H:$H,Mesures!$F:$F,$A36,Mesures!$C:$C,D$2),"")</f>
        <v/>
      </c>
      <c r="E36" s="4">
        <f>IFERROR(AVERAGEIFS(Mesures!$H:$H,Mesures!$F:$F,$A36,Mesures!$C:$C,E$2),"")</f>
        <v/>
      </c>
      <c r="F36" s="4">
        <f>IFERROR(AVERAGEIFS(Mesures!$H:$H,Mesures!$F:$F,$A36,Mesures!$C:$C,F$2),"")</f>
        <v/>
      </c>
      <c r="G36" s="4">
        <f>IFERROR(AVERAGEIFS(Mesures!$H:$H,Mesures!$F:$F,$A36,Mesures!$C:$C,G$2),"")</f>
        <v/>
      </c>
      <c r="H36" s="4">
        <f>IFERROR(AVERAGEIFS(Mesures!$H:$H,Mesures!$F:$F,$A36,Mesures!$C:$C,H$2),"")</f>
        <v/>
      </c>
      <c r="I36" s="4">
        <f>IFERROR(AVERAGEIFS(Mesures!$H:$H,Mesures!$F:$F,$A36,Mesures!$C:$C,I$2),"")</f>
        <v/>
      </c>
      <c r="J36" s="4">
        <f>IFERROR(AVERAGEIFS(Mesures!$H:$H,Mesures!$F:$F,$A36,Mesures!$C:$C,J$2),"")</f>
        <v/>
      </c>
      <c r="K36" s="4">
        <f>IFERROR(AVERAGEIFS(Mesures!$H:$H,Mesures!$F:$F,$A36,Mesures!$C:$C,K$2),"")</f>
        <v/>
      </c>
      <c r="L36" s="4">
        <f>IFERROR(AVERAGEIFS(Mesures!$H:$H,Mesures!$F:$F,$A36,Mesures!$C:$C,L$2),"")</f>
        <v/>
      </c>
      <c r="M36" s="4">
        <f>IFERROR(AVERAGEIFS(Mesures!$H:$H,Mesures!$F:$F,$A36,Mesures!$C:$C,M$2),"")</f>
        <v/>
      </c>
      <c r="N36" s="4">
        <f>IFERROR(AVERAGEIFS(Mesures!$H:$H,Mesures!$F:$F,$A36,Mesures!$C:$C,N$2),"")</f>
        <v/>
      </c>
      <c r="O36" s="4">
        <f>IFERROR(AVERAGEIFS(Mesures!$H:$H,Mesures!$F:$F,$A36,Mesures!$C:$C,O$2),"")</f>
        <v/>
      </c>
      <c r="P36" s="4">
        <f>IFERROR(AVERAGEIFS(Mesures!$H:$H,Mesures!$F:$F,$A36,Mesures!$C:$C,P$2),"")</f>
        <v/>
      </c>
      <c r="Q36" s="4">
        <f>IFERROR(AVERAGEIFS(Mesures!$H:$H,Mesures!$F:$F,$A36,Mesures!$C:$C,Q$2),"")</f>
        <v/>
      </c>
      <c r="R36" s="4">
        <f>IFERROR(AVERAGEIFS(Mesures!$H:$H,Mesures!$F:$F,$A36,Mesures!$C:$C,R$2),"")</f>
        <v/>
      </c>
      <c r="S36" s="4">
        <f>IFERROR(AVERAGEIFS(Mesures!$H:$H,Mesures!$F:$F,$A36,Mesures!$C:$C,S$2),"")</f>
        <v/>
      </c>
      <c r="T36" s="4">
        <f>IFERROR(AVERAGEIFS(Mesures!$H:$H,Mesures!$F:$F,$A36,Mesures!$C:$C,T$2),"")</f>
        <v/>
      </c>
      <c r="U36" s="4">
        <f>IFERROR(AVERAGEIFS(Mesures!$H:$H,Mesures!$F:$F,$A36,Mesures!$C:$C,U$2),"")</f>
        <v/>
      </c>
      <c r="V36" s="4">
        <f>IFERROR(AVERAGEIFS(Mesures!$H:$H,Mesures!$F:$F,$A36,Mesures!$C:$C,V$2),"")</f>
        <v/>
      </c>
      <c r="W36" s="4">
        <f>IFERROR(AVERAGEIFS(Mesures!$H:$H,Mesures!$F:$F,$A36,Mesures!$C:$C,W$2),"")</f>
        <v/>
      </c>
      <c r="X36" s="4">
        <f>IFERROR(AVERAGEIFS(Mesures!$H:$H,Mesures!$F:$F,$A36,Mesures!$C:$C,X$2),"")</f>
        <v/>
      </c>
      <c r="Y36" s="4">
        <f>IFERROR(AVERAGEIFS(Mesures!$H:$H,Mesures!$F:$F,$A36,Mesures!$C:$C,Y$2),"")</f>
        <v/>
      </c>
      <c r="Z36" s="4">
        <f>IFERROR(AVERAGEIFS(Mesures!$H:$H,Mesures!$F:$F,$A36,Mesures!$C:$C,Z$2),"")</f>
        <v/>
      </c>
      <c r="AA36" s="4">
        <f>IFERROR(AVERAGEIFS(Mesures!$H:$H,Mesures!$F:$F,$A36,Mesures!$C:$C,AA$2),"")</f>
        <v/>
      </c>
      <c r="AB36" s="4">
        <f>IFERROR(AVERAGEIFS(Mesures!$H:$H,Mesures!$F:$F,$A36,Mesures!$C:$C,AB$2),"")</f>
        <v/>
      </c>
      <c r="AC36" s="4">
        <f>IFERROR(AVERAGEIFS(Mesures!$H:$H,Mesures!$F:$F,$A36,Mesures!$C:$C,AC$2),"")</f>
        <v/>
      </c>
      <c r="AD36" s="4">
        <f>IFERROR(AVERAGEIFS(Mesures!$H:$H,Mesures!$F:$F,$A36,Mesures!$C:$C,AD$2),"")</f>
        <v/>
      </c>
      <c r="AE36" s="4">
        <f>IFERROR(AVERAGEIFS(Mesures!$H:$H,Mesures!$F:$F,$A36,Mesures!$C:$C,AE$2),"")</f>
        <v/>
      </c>
      <c r="AF36" s="4">
        <f>IFERROR(AVERAGEIFS(Mesures!$H:$H,Mesures!$F:$F,$A36,Mesures!$C:$C,AF$2),"")</f>
        <v/>
      </c>
      <c r="AG36" s="4">
        <f>IFERROR(AVERAGEIFS(Mesures!$H:$H,Mesures!$F:$F,$A36,Mesures!$C:$C,AG$2),"")</f>
        <v/>
      </c>
      <c r="AH36" s="4">
        <f>IFERROR(AVERAGEIFS(Mesures!$H:$H,Mesures!$F:$F,$A36,Mesures!$C:$C,AH$2),"")</f>
        <v/>
      </c>
      <c r="AI36" s="4">
        <f>IFERROR(AVERAGEIFS(Mesures!$H:$H,Mesures!$F:$F,$A36,Mesures!$C:$C,AI$2),"")</f>
        <v/>
      </c>
      <c r="AJ36" s="4">
        <f>IFERROR(AVERAGEIFS(Mesures!$H:$H,Mesures!$F:$F,$A36,Mesures!$C:$C,AJ$2),"")</f>
        <v/>
      </c>
      <c r="AK36" s="4">
        <f>IFERROR(AVERAGEIFS(Mesures!$H:$H,Mesures!$F:$F,$A36,Mesures!$C:$C,AK$2),"")</f>
        <v/>
      </c>
      <c r="AL36" s="4">
        <f>IFERROR(AVERAGEIFS(Mesures!$H:$H,Mesures!$F:$F,$A36,Mesures!$C:$C,AL$2),"")</f>
        <v/>
      </c>
      <c r="AM36" s="4">
        <f>IFERROR(AVERAGEIFS(Mesures!$H:$H,Mesures!$F:$F,$A36,Mesures!$C:$C,AM$2),"")</f>
        <v/>
      </c>
      <c r="AN36" s="4">
        <f>IFERROR(AVERAGEIFS(Mesures!$H:$H,Mesures!$F:$F,$A36,Mesures!$C:$C,AN$2),"")</f>
        <v/>
      </c>
      <c r="AO36" s="4">
        <f>IFERROR(AVERAGEIFS(Mesures!$H:$H,Mesures!$F:$F,$A36,Mesures!$C:$C,AO$2),"")</f>
        <v/>
      </c>
      <c r="AP36" s="4">
        <f>IFERROR(AVERAGEIFS(Mesures!$H:$H,Mesures!$F:$F,$A36,Mesures!$C:$C,AP$2),"")</f>
        <v/>
      </c>
      <c r="AQ36" s="4">
        <f>IFERROR(AVERAGEIFS(Mesures!$H:$H,Mesures!$F:$F,$A36,Mesures!$C:$C,AQ$2),"")</f>
        <v/>
      </c>
      <c r="AR36" s="4">
        <f>IFERROR(AVERAGEIFS(Mesures!$H:$H,Mesures!$F:$F,$A36,Mesures!$C:$C,AR$2),"")</f>
        <v/>
      </c>
      <c r="AS36" s="4">
        <f>IFERROR(AVERAGEIFS(Mesures!$H:$H,Mesures!$F:$F,$A36,Mesures!$C:$C,AS$2),"")</f>
        <v/>
      </c>
      <c r="AT36" s="4">
        <f>IFERROR(AVERAGEIFS(Mesures!$H:$H,Mesures!$F:$F,$A36,Mesures!$C:$C,AT$2),"")</f>
        <v/>
      </c>
      <c r="AU36" s="4">
        <f>IFERROR(AVERAGEIFS(Mesures!$H:$H,Mesures!$F:$F,$A36,Mesures!$C:$C,AU$2),"")</f>
        <v/>
      </c>
      <c r="AV36" s="4">
        <f>IFERROR(AVERAGEIFS(Mesures!$H:$H,Mesures!$F:$F,$A36,Mesures!$C:$C,AV$2),"")</f>
        <v/>
      </c>
      <c r="AW36" s="4">
        <f>IFERROR(AVERAGEIFS(Mesures!$H:$H,Mesures!$F:$F,$A36,Mesures!$C:$C,AW$2),"")</f>
        <v/>
      </c>
      <c r="AX36" s="4">
        <f>IFERROR(AVERAGEIFS(Mesures!$H:$H,Mesures!$F:$F,$A36,Mesures!$C:$C,AX$2),"")</f>
        <v/>
      </c>
      <c r="AY36" s="4">
        <f>IFERROR(AVERAGEIFS(Mesures!$H:$H,Mesures!$F:$F,$A36,Mesures!$C:$C,AY$2),"")</f>
        <v/>
      </c>
      <c r="AZ36" s="4">
        <f>IFERROR(AVERAGEIFS(Mesures!$H:$H,Mesures!$F:$F,$A36,Mesures!$C:$C,AZ$2),"")</f>
        <v/>
      </c>
      <c r="BA36" s="4">
        <f>IFERROR(AVERAGEIFS(Mesures!$H:$H,Mesures!$F:$F,$A36,Mesures!$C:$C,BA$2),"")</f>
        <v/>
      </c>
      <c r="BB36" s="4">
        <f>IFERROR(AVERAGEIFS(Mesures!$H:$H,Mesures!$F:$F,$A36,Mesures!$C:$C,BB$2),"")</f>
        <v/>
      </c>
      <c r="BC36" s="4">
        <f>IFERROR(AVERAGEIFS(Mesures!$H:$H,Mesures!$F:$F,$A36,Mesures!$C:$C,BC$2),"")</f>
        <v/>
      </c>
      <c r="BD36" s="4">
        <f>IFERROR(AVERAGEIFS(Mesures!$H:$H,Mesures!$F:$F,$A36,Mesures!$C:$C,BD$2),"")</f>
        <v/>
      </c>
      <c r="BE36" s="4">
        <f>IFERROR(AVERAGEIFS(Mesures!$H:$H,Mesures!$F:$F,$A36,Mesures!$C:$C,BE$2),"")</f>
        <v/>
      </c>
      <c r="BF36" s="4">
        <f>IFERROR(AVERAGEIFS(Mesures!$H:$H,Mesures!$F:$F,$A36,Mesures!$C:$C,BF$2),"")</f>
        <v/>
      </c>
    </row>
    <row r="37">
      <c r="A37" s="2" t="inlineStr">
        <is>
          <t>L1 en mode ligne (nappes continues) / public</t>
        </is>
      </c>
      <c r="B37" s="4">
        <f>IFERROR(AVERAGEIFS(Mesures!$H:$H,Mesures!$F:$F,$A37,Mesures!$C:$C,B$2),"")</f>
        <v/>
      </c>
      <c r="C37" s="4">
        <f>IFERROR(AVERAGEIFS(Mesures!$H:$H,Mesures!$F:$F,$A37,Mesures!$C:$C,C$2),"")</f>
        <v/>
      </c>
      <c r="D37" s="4">
        <f>IFERROR(AVERAGEIFS(Mesures!$H:$H,Mesures!$F:$F,$A37,Mesures!$C:$C,D$2),"")</f>
        <v/>
      </c>
      <c r="E37" s="4">
        <f>IFERROR(AVERAGEIFS(Mesures!$H:$H,Mesures!$F:$F,$A37,Mesures!$C:$C,E$2),"")</f>
        <v/>
      </c>
      <c r="F37" s="4">
        <f>IFERROR(AVERAGEIFS(Mesures!$H:$H,Mesures!$F:$F,$A37,Mesures!$C:$C,F$2),"")</f>
        <v/>
      </c>
      <c r="G37" s="4">
        <f>IFERROR(AVERAGEIFS(Mesures!$H:$H,Mesures!$F:$F,$A37,Mesures!$C:$C,G$2),"")</f>
        <v/>
      </c>
      <c r="H37" s="4">
        <f>IFERROR(AVERAGEIFS(Mesures!$H:$H,Mesures!$F:$F,$A37,Mesures!$C:$C,H$2),"")</f>
        <v/>
      </c>
      <c r="I37" s="4">
        <f>IFERROR(AVERAGEIFS(Mesures!$H:$H,Mesures!$F:$F,$A37,Mesures!$C:$C,I$2),"")</f>
        <v/>
      </c>
      <c r="J37" s="4">
        <f>IFERROR(AVERAGEIFS(Mesures!$H:$H,Mesures!$F:$F,$A37,Mesures!$C:$C,J$2),"")</f>
        <v/>
      </c>
      <c r="K37" s="4">
        <f>IFERROR(AVERAGEIFS(Mesures!$H:$H,Mesures!$F:$F,$A37,Mesures!$C:$C,K$2),"")</f>
        <v/>
      </c>
      <c r="L37" s="4">
        <f>IFERROR(AVERAGEIFS(Mesures!$H:$H,Mesures!$F:$F,$A37,Mesures!$C:$C,L$2),"")</f>
        <v/>
      </c>
      <c r="M37" s="4">
        <f>IFERROR(AVERAGEIFS(Mesures!$H:$H,Mesures!$F:$F,$A37,Mesures!$C:$C,M$2),"")</f>
        <v/>
      </c>
      <c r="N37" s="4">
        <f>IFERROR(AVERAGEIFS(Mesures!$H:$H,Mesures!$F:$F,$A37,Mesures!$C:$C,N$2),"")</f>
        <v/>
      </c>
      <c r="O37" s="4">
        <f>IFERROR(AVERAGEIFS(Mesures!$H:$H,Mesures!$F:$F,$A37,Mesures!$C:$C,O$2),"")</f>
        <v/>
      </c>
      <c r="P37" s="4">
        <f>IFERROR(AVERAGEIFS(Mesures!$H:$H,Mesures!$F:$F,$A37,Mesures!$C:$C,P$2),"")</f>
        <v/>
      </c>
      <c r="Q37" s="4">
        <f>IFERROR(AVERAGEIFS(Mesures!$H:$H,Mesures!$F:$F,$A37,Mesures!$C:$C,Q$2),"")</f>
        <v/>
      </c>
      <c r="R37" s="4">
        <f>IFERROR(AVERAGEIFS(Mesures!$H:$H,Mesures!$F:$F,$A37,Mesures!$C:$C,R$2),"")</f>
        <v/>
      </c>
      <c r="S37" s="4">
        <f>IFERROR(AVERAGEIFS(Mesures!$H:$H,Mesures!$F:$F,$A37,Mesures!$C:$C,S$2),"")</f>
        <v/>
      </c>
      <c r="T37" s="4">
        <f>IFERROR(AVERAGEIFS(Mesures!$H:$H,Mesures!$F:$F,$A37,Mesures!$C:$C,T$2),"")</f>
        <v/>
      </c>
      <c r="U37" s="4">
        <f>IFERROR(AVERAGEIFS(Mesures!$H:$H,Mesures!$F:$F,$A37,Mesures!$C:$C,U$2),"")</f>
        <v/>
      </c>
      <c r="V37" s="4">
        <f>IFERROR(AVERAGEIFS(Mesures!$H:$H,Mesures!$F:$F,$A37,Mesures!$C:$C,V$2),"")</f>
        <v/>
      </c>
      <c r="W37" s="4">
        <f>IFERROR(AVERAGEIFS(Mesures!$H:$H,Mesures!$F:$F,$A37,Mesures!$C:$C,W$2),"")</f>
        <v/>
      </c>
      <c r="X37" s="4">
        <f>IFERROR(AVERAGEIFS(Mesures!$H:$H,Mesures!$F:$F,$A37,Mesures!$C:$C,X$2),"")</f>
        <v/>
      </c>
      <c r="Y37" s="4">
        <f>IFERROR(AVERAGEIFS(Mesures!$H:$H,Mesures!$F:$F,$A37,Mesures!$C:$C,Y$2),"")</f>
        <v/>
      </c>
      <c r="Z37" s="4">
        <f>IFERROR(AVERAGEIFS(Mesures!$H:$H,Mesures!$F:$F,$A37,Mesures!$C:$C,Z$2),"")</f>
        <v/>
      </c>
      <c r="AA37" s="4">
        <f>IFERROR(AVERAGEIFS(Mesures!$H:$H,Mesures!$F:$F,$A37,Mesures!$C:$C,AA$2),"")</f>
        <v/>
      </c>
      <c r="AB37" s="4">
        <f>IFERROR(AVERAGEIFS(Mesures!$H:$H,Mesures!$F:$F,$A37,Mesures!$C:$C,AB$2),"")</f>
        <v/>
      </c>
      <c r="AC37" s="4">
        <f>IFERROR(AVERAGEIFS(Mesures!$H:$H,Mesures!$F:$F,$A37,Mesures!$C:$C,AC$2),"")</f>
        <v/>
      </c>
      <c r="AD37" s="4">
        <f>IFERROR(AVERAGEIFS(Mesures!$H:$H,Mesures!$F:$F,$A37,Mesures!$C:$C,AD$2),"")</f>
        <v/>
      </c>
      <c r="AE37" s="4">
        <f>IFERROR(AVERAGEIFS(Mesures!$H:$H,Mesures!$F:$F,$A37,Mesures!$C:$C,AE$2),"")</f>
        <v/>
      </c>
      <c r="AF37" s="4">
        <f>IFERROR(AVERAGEIFS(Mesures!$H:$H,Mesures!$F:$F,$A37,Mesures!$C:$C,AF$2),"")</f>
        <v/>
      </c>
      <c r="AG37" s="4">
        <f>IFERROR(AVERAGEIFS(Mesures!$H:$H,Mesures!$F:$F,$A37,Mesures!$C:$C,AG$2),"")</f>
        <v/>
      </c>
      <c r="AH37" s="4">
        <f>IFERROR(AVERAGEIFS(Mesures!$H:$H,Mesures!$F:$F,$A37,Mesures!$C:$C,AH$2),"")</f>
        <v/>
      </c>
      <c r="AI37" s="4">
        <f>IFERROR(AVERAGEIFS(Mesures!$H:$H,Mesures!$F:$F,$A37,Mesures!$C:$C,AI$2),"")</f>
        <v/>
      </c>
      <c r="AJ37" s="4">
        <f>IFERROR(AVERAGEIFS(Mesures!$H:$H,Mesures!$F:$F,$A37,Mesures!$C:$C,AJ$2),"")</f>
        <v/>
      </c>
      <c r="AK37" s="4">
        <f>IFERROR(AVERAGEIFS(Mesures!$H:$H,Mesures!$F:$F,$A37,Mesures!$C:$C,AK$2),"")</f>
        <v/>
      </c>
      <c r="AL37" s="4">
        <f>IFERROR(AVERAGEIFS(Mesures!$H:$H,Mesures!$F:$F,$A37,Mesures!$C:$C,AL$2),"")</f>
        <v/>
      </c>
      <c r="AM37" s="4">
        <f>IFERROR(AVERAGEIFS(Mesures!$H:$H,Mesures!$F:$F,$A37,Mesures!$C:$C,AM$2),"")</f>
        <v/>
      </c>
      <c r="AN37" s="4">
        <f>IFERROR(AVERAGEIFS(Mesures!$H:$H,Mesures!$F:$F,$A37,Mesures!$C:$C,AN$2),"")</f>
        <v/>
      </c>
      <c r="AO37" s="4">
        <f>IFERROR(AVERAGEIFS(Mesures!$H:$H,Mesures!$F:$F,$A37,Mesures!$C:$C,AO$2),"")</f>
        <v/>
      </c>
      <c r="AP37" s="4">
        <f>IFERROR(AVERAGEIFS(Mesures!$H:$H,Mesures!$F:$F,$A37,Mesures!$C:$C,AP$2),"")</f>
        <v/>
      </c>
      <c r="AQ37" s="4">
        <f>IFERROR(AVERAGEIFS(Mesures!$H:$H,Mesures!$F:$F,$A37,Mesures!$C:$C,AQ$2),"")</f>
        <v/>
      </c>
      <c r="AR37" s="4">
        <f>IFERROR(AVERAGEIFS(Mesures!$H:$H,Mesures!$F:$F,$A37,Mesures!$C:$C,AR$2),"")</f>
        <v/>
      </c>
      <c r="AS37" s="4">
        <f>IFERROR(AVERAGEIFS(Mesures!$H:$H,Mesures!$F:$F,$A37,Mesures!$C:$C,AS$2),"")</f>
        <v/>
      </c>
      <c r="AT37" s="4">
        <f>IFERROR(AVERAGEIFS(Mesures!$H:$H,Mesures!$F:$F,$A37,Mesures!$C:$C,AT$2),"")</f>
        <v/>
      </c>
      <c r="AU37" s="4">
        <f>IFERROR(AVERAGEIFS(Mesures!$H:$H,Mesures!$F:$F,$A37,Mesures!$C:$C,AU$2),"")</f>
        <v/>
      </c>
      <c r="AV37" s="4">
        <f>IFERROR(AVERAGEIFS(Mesures!$H:$H,Mesures!$F:$F,$A37,Mesures!$C:$C,AV$2),"")</f>
        <v/>
      </c>
      <c r="AW37" s="4">
        <f>IFERROR(AVERAGEIFS(Mesures!$H:$H,Mesures!$F:$F,$A37,Mesures!$C:$C,AW$2),"")</f>
        <v/>
      </c>
      <c r="AX37" s="4">
        <f>IFERROR(AVERAGEIFS(Mesures!$H:$H,Mesures!$F:$F,$A37,Mesures!$C:$C,AX$2),"")</f>
        <v/>
      </c>
      <c r="AY37" s="4">
        <f>IFERROR(AVERAGEIFS(Mesures!$H:$H,Mesures!$F:$F,$A37,Mesures!$C:$C,AY$2),"")</f>
        <v/>
      </c>
      <c r="AZ37" s="4">
        <f>IFERROR(AVERAGEIFS(Mesures!$H:$H,Mesures!$F:$F,$A37,Mesures!$C:$C,AZ$2),"")</f>
        <v/>
      </c>
      <c r="BA37" s="4">
        <f>IFERROR(AVERAGEIFS(Mesures!$H:$H,Mesures!$F:$F,$A37,Mesures!$C:$C,BA$2),"")</f>
        <v/>
      </c>
      <c r="BB37" s="4">
        <f>IFERROR(AVERAGEIFS(Mesures!$H:$H,Mesures!$F:$F,$A37,Mesures!$C:$C,BB$2),"")</f>
        <v/>
      </c>
      <c r="BC37" s="4">
        <f>IFERROR(AVERAGEIFS(Mesures!$H:$H,Mesures!$F:$F,$A37,Mesures!$C:$C,BC$2),"")</f>
        <v/>
      </c>
      <c r="BD37" s="4">
        <f>IFERROR(AVERAGEIFS(Mesures!$H:$H,Mesures!$F:$F,$A37,Mesures!$C:$C,BD$2),"")</f>
        <v/>
      </c>
      <c r="BE37" s="4">
        <f>IFERROR(AVERAGEIFS(Mesures!$H:$H,Mesures!$F:$F,$A37,Mesures!$C:$C,BE$2),"")</f>
        <v/>
      </c>
      <c r="BF37" s="4">
        <f>IFERROR(AVERAGEIFS(Mesures!$H:$H,Mesures!$F:$F,$A37,Mesures!$C:$C,BF$2),"")</f>
        <v/>
      </c>
    </row>
    <row r="39">
      <c r="A39" s="5" t="inlineStr">
        <is>
          <t>GPU moyen (ms)</t>
        </is>
      </c>
    </row>
    <row r="40" ht="60" customHeight="1">
      <c r="A40" s="1" t="inlineStr">
        <is>
          <t>Cas</t>
        </is>
      </c>
      <c r="B40" s="1" t="inlineStr">
        <is>
          <t>1. Reference avant sol texture</t>
        </is>
      </c>
      <c r="C40" s="1" t="inlineStr">
        <is>
          <t>2. Sol beton texture (Concrete031)</t>
        </is>
      </c>
      <c r="D40" s="1" t="inlineStr">
        <is>
          <t>3. Sol mouille 0,8 + reflet miroir</t>
        </is>
      </c>
      <c r="E40" s="1" t="inlineStr">
        <is>
          <t>4. Faisceaux coupes aux obstacles + cube (banc rapide)</t>
        </is>
      </c>
      <c r="F40" s="1" t="inlineStr">
        <is>
          <t>5a. Ombres coupees (shadows=0)</t>
        </is>
      </c>
      <c r="G40" s="1" t="inlineStr">
        <is>
          <t>5b. Ombres des obstacles (shadows=1)</t>
        </is>
      </c>
      <c r="H40" s="1" t="inlineStr">
        <is>
          <t>6a. Ombres + penombre : coupees (shadows=0)</t>
        </is>
      </c>
      <c r="I40" s="1" t="inlineStr">
        <is>
          <t>6b. Ombres + penombre sur surfaces (shadows=1)</t>
        </is>
      </c>
      <c r="J40" s="1" t="inlineStr">
        <is>
          <t>7a. Aberration chromatique codee, coupee (atlas R32F garde)</t>
        </is>
      </c>
      <c r="K40" s="1" t="inlineStr">
        <is>
          <t>7b. Aberration chromatique coupee (banc rapide)</t>
        </is>
      </c>
      <c r="L40" s="1" t="inlineStr">
        <is>
          <t>7c. Aberration chromatique active (banc rapide)</t>
        </is>
      </c>
      <c r="M40" s="1" t="inlineStr">
        <is>
          <t>7e0. Essai v0 : aberration, enveloppe +2 %, chroma=1</t>
        </is>
      </c>
      <c r="N40" s="1" t="inlineStr">
        <is>
          <t>7e1. Essai v1 : enveloppe inchangee, flou par couleur, chroma=1</t>
        </is>
      </c>
      <c r="O40" s="1" t="inlineStr">
        <is>
          <t>7e3. Essai v3 : cache pour toutes les lyres, chroma=1</t>
        </is>
      </c>
      <c r="P40" s="1" t="inlineStr">
        <is>
          <t>7e4. Essai v4 : cache recalcule s'il change (RGBA16F), chroma=1</t>
        </is>
      </c>
      <c r="Q40" s="1" t="inlineStr">
        <is>
          <t>8. Longueur exacte des faisceaux arretes par le sol (bout des taches rasantes)</t>
        </is>
      </c>
      <c r="R40" s="1" t="inlineStr">
        <is>
          <t>9a. Eau au sol : creux, flaques nettes, variante seche du shader</t>
        </is>
      </c>
      <c r="S40" s="1" t="inlineStr">
        <is>
          <t>9b. Eau au sol a 10 %</t>
        </is>
      </c>
      <c r="T40" s="1" t="inlineStr">
        <is>
          <t>9e. Essai : creux en trilineaire (abandonne)</t>
        </is>
      </c>
      <c r="U40" s="1" t="inlineStr">
        <is>
          <t>10a. Reflet seulement dans l'eau (masque par blocs), eau 0,1</t>
        </is>
      </c>
      <c r="V40" s="1" t="inlineStr">
        <is>
          <t>10b. Reflet seulement dans l'eau, eau 0,3</t>
        </is>
      </c>
      <c r="W40" s="1" t="inlineStr">
        <is>
          <t>10c. Reflet seulement dans l'eau, eau 1</t>
        </is>
      </c>
      <c r="X40" s="1" t="inlineStr">
        <is>
          <t>10e1. Essai masque : 1 point par pixel du miroir (creux manques)</t>
        </is>
      </c>
      <c r="Y40" s="1" t="inlineStr">
        <is>
          <t>10e3. Essai masque : faisceaux seulement dans les flaques (pores plus sombres)</t>
        </is>
      </c>
      <c r="Z40" s="1" t="inlineStr">
        <is>
          <t>11. Lasers (prototype) : banc des lyres inchange</t>
        </is>
      </c>
      <c r="AA40" s="1" t="inlineStr">
        <is>
          <t>11a. Lasers : triangles en addition (prototype)</t>
        </is>
      </c>
      <c r="AB40" s="1" t="inlineStr">
        <is>
          <t>11b. Lasers : tuiles en calcul (prototype)</t>
        </is>
      </c>
      <c r="AC40" s="1" t="inlineStr">
        <is>
          <t>12. Lasers : traits seuls (eventails de 16 traits au plus), nappe lisse allegee, triangles retires</t>
        </is>
      </c>
      <c r="AD40" s="1" t="inlineStr">
        <is>
          <t>13a. Lasers, essai degrades v1 (meme shader, 6 vec4)</t>
        </is>
      </c>
      <c r="AE40" s="1" t="inlineStr">
        <is>
          <t>13b. Lasers, essai degrades v2 (interpolation allegee)</t>
        </is>
      </c>
      <c r="AF40" s="1" t="inlineStr">
        <is>
          <t>13c. Lasers, degrades : deux variantes du shader (gardee)</t>
        </is>
      </c>
      <c r="AG40" s="1" t="inlineStr">
        <is>
          <t>13. Lasers : moteur et onglet Lasers (etape 2), formes, degrades, effets, boitiers, cas L7</t>
        </is>
      </c>
      <c r="AH40" s="1" t="inlineStr">
        <is>
          <t>14. Lasers : fumee de la piece (coupee, laserfog=0)</t>
        </is>
      </c>
      <c r="AI40" s="1" t="inlineStr">
        <is>
          <t>14. Lasers : fumee de la piece (laserfog=1)</t>
        </is>
      </c>
      <c r="AJ40" s="1" t="inlineStr">
        <is>
          <t>15. Lasers : diffusion avant 1 lobe (laserphase=0)</t>
        </is>
      </c>
      <c r="AK40" s="1" t="inlineStr">
        <is>
          <t>15. Lasers : diffusion avant 2 lobes (laserphase=1)</t>
        </is>
      </c>
      <c r="AL40" s="1" t="inlineStr">
        <is>
          <t>16. Lasers : volutes coupees (volutes=0)</t>
        </is>
      </c>
      <c r="AM40" s="1" t="inlineStr">
        <is>
          <t>16. Lasers : volutes 1 octave (BC5 64^3, 1,6 m)</t>
        </is>
      </c>
      <c r="AN40" s="1" t="inlineStr">
        <is>
          <t>17. Lasers : volutes, 2e octave coupee (volfine=0)</t>
        </is>
      </c>
      <c r="AO40" s="1" t="inlineStr">
        <is>
          <t>17. Lasers : volutes, 2e octave de pres (volfine=1, portee -1)</t>
        </is>
      </c>
      <c r="AP40" s="1" t="inlineStr">
        <is>
          <t>18. Lasers : variantes du shader, tout coupe (variante 0)</t>
        </is>
      </c>
      <c r="AQ40" s="1" t="inlineStr">
        <is>
          <t>18. Lasers : variante 1 (fumee de la piece, 2 lobes)</t>
        </is>
      </c>
      <c r="AR40" s="1" t="inlineStr">
        <is>
          <t>18. Lasers : variante 3 (+ volutes, 2 octaves)</t>
        </is>
      </c>
      <c r="AS40" s="1" t="inlineStr">
        <is>
          <t>19. Lasers : etape 3 avant (reference)</t>
        </is>
      </c>
      <c r="AT40" s="1" t="inlineStr">
        <is>
          <t>19. Lasers : etape 3 finale (fumee de la piece RG8, 2 lobes, volutes)</t>
        </is>
      </c>
      <c r="AU40" s="1" t="inlineStr">
        <is>
          <t>19. Lyres : etape 3 finale (texture des amas RG8)</t>
        </is>
      </c>
      <c r="AV40" s="1" t="inlineStr">
        <is>
          <t>20. Lasers : lecture ILDA, mode ligne, 16 384 segments</t>
        </is>
      </c>
      <c r="AW40" s="1" t="inlineStr">
        <is>
          <t>20a. Essai ecarte : variante nappes et traits seuls (coupee)</t>
        </is>
      </c>
      <c r="AX40" s="1" t="inlineStr">
        <is>
          <t>20a. Essai ecarte : variante nappes et traits seuls (active)</t>
        </is>
      </c>
      <c r="AY40" s="1" t="inlineStr">
        <is>
          <t>20. Lyres : lecture ILDA (inchange)</t>
        </is>
      </c>
      <c r="AZ40" s="1" t="inlineStr">
        <is>
          <t>21. Lasers : collisions, code present coupe (lasercoll=0)</t>
        </is>
      </c>
      <c r="BA40" s="1" t="inlineStr">
        <is>
          <t>21. Lasers : collisions actives (essai, test avec branchement)</t>
        </is>
      </c>
      <c r="BB40" s="1" t="inlineStr">
        <is>
          <t>22. Lasers : impacts coupes (laserimpacts=0)</t>
        </is>
      </c>
      <c r="BC40" s="1" t="inlineStr">
        <is>
          <t>22. Lasers : impacts sur les surfaces</t>
        </is>
      </c>
      <c r="BD40" s="1" t="inlineStr">
        <is>
          <t>22b. Lasers : etape 5 (collisions + impacts), en mouvement</t>
        </is>
      </c>
      <c r="BE40" s="1" t="inlineStr">
        <is>
          <t>22b. Lyres : etape 5 (inchange)</t>
        </is>
      </c>
      <c r="BF40" s="1" t="inlineStr">
        <is>
          <t>23. arcs : silhouettes adoucies, pyramide coupee a l'ecran et aux parois, passe des arcs a part</t>
        </is>
      </c>
    </row>
    <row r="41">
      <c r="A41" s="2" t="inlineStr">
        <is>
          <t>defaut / public</t>
        </is>
      </c>
      <c r="B41" s="3">
        <f>IFERROR(AVERAGEIFS(Mesures!$I:$I,Mesures!$F:$F,$A41,Mesures!$C:$C,B$40),"")</f>
        <v/>
      </c>
      <c r="C41" s="3">
        <f>IFERROR(AVERAGEIFS(Mesures!$I:$I,Mesures!$F:$F,$A41,Mesures!$C:$C,C$40),"")</f>
        <v/>
      </c>
      <c r="D41" s="3">
        <f>IFERROR(AVERAGEIFS(Mesures!$I:$I,Mesures!$F:$F,$A41,Mesures!$C:$C,D$40),"")</f>
        <v/>
      </c>
      <c r="E41" s="3">
        <f>IFERROR(AVERAGEIFS(Mesures!$I:$I,Mesures!$F:$F,$A41,Mesures!$C:$C,E$40),"")</f>
        <v/>
      </c>
      <c r="F41" s="3">
        <f>IFERROR(AVERAGEIFS(Mesures!$I:$I,Mesures!$F:$F,$A41,Mesures!$C:$C,F$40),"")</f>
        <v/>
      </c>
      <c r="G41" s="3">
        <f>IFERROR(AVERAGEIFS(Mesures!$I:$I,Mesures!$F:$F,$A41,Mesures!$C:$C,G$40),"")</f>
        <v/>
      </c>
      <c r="H41" s="3">
        <f>IFERROR(AVERAGEIFS(Mesures!$I:$I,Mesures!$F:$F,$A41,Mesures!$C:$C,H$40),"")</f>
        <v/>
      </c>
      <c r="I41" s="3">
        <f>IFERROR(AVERAGEIFS(Mesures!$I:$I,Mesures!$F:$F,$A41,Mesures!$C:$C,I$40),"")</f>
        <v/>
      </c>
      <c r="J41" s="3">
        <f>IFERROR(AVERAGEIFS(Mesures!$I:$I,Mesures!$F:$F,$A41,Mesures!$C:$C,J$40),"")</f>
        <v/>
      </c>
      <c r="K41" s="3">
        <f>IFERROR(AVERAGEIFS(Mesures!$I:$I,Mesures!$F:$F,$A41,Mesures!$C:$C,K$40),"")</f>
        <v/>
      </c>
      <c r="L41" s="3">
        <f>IFERROR(AVERAGEIFS(Mesures!$I:$I,Mesures!$F:$F,$A41,Mesures!$C:$C,L$40),"")</f>
        <v/>
      </c>
      <c r="M41" s="3">
        <f>IFERROR(AVERAGEIFS(Mesures!$I:$I,Mesures!$F:$F,$A41,Mesures!$C:$C,M$40),"")</f>
        <v/>
      </c>
      <c r="N41" s="3">
        <f>IFERROR(AVERAGEIFS(Mesures!$I:$I,Mesures!$F:$F,$A41,Mesures!$C:$C,N$40),"")</f>
        <v/>
      </c>
      <c r="O41" s="3">
        <f>IFERROR(AVERAGEIFS(Mesures!$I:$I,Mesures!$F:$F,$A41,Mesures!$C:$C,O$40),"")</f>
        <v/>
      </c>
      <c r="P41" s="3">
        <f>IFERROR(AVERAGEIFS(Mesures!$I:$I,Mesures!$F:$F,$A41,Mesures!$C:$C,P$40),"")</f>
        <v/>
      </c>
      <c r="Q41" s="3">
        <f>IFERROR(AVERAGEIFS(Mesures!$I:$I,Mesures!$F:$F,$A41,Mesures!$C:$C,Q$40),"")</f>
        <v/>
      </c>
      <c r="R41" s="3">
        <f>IFERROR(AVERAGEIFS(Mesures!$I:$I,Mesures!$F:$F,$A41,Mesures!$C:$C,R$40),"")</f>
        <v/>
      </c>
      <c r="S41" s="3">
        <f>IFERROR(AVERAGEIFS(Mesures!$I:$I,Mesures!$F:$F,$A41,Mesures!$C:$C,S$40),"")</f>
        <v/>
      </c>
      <c r="T41" s="3">
        <f>IFERROR(AVERAGEIFS(Mesures!$I:$I,Mesures!$F:$F,$A41,Mesures!$C:$C,T$40),"")</f>
        <v/>
      </c>
      <c r="U41" s="3">
        <f>IFERROR(AVERAGEIFS(Mesures!$I:$I,Mesures!$F:$F,$A41,Mesures!$C:$C,U$40),"")</f>
        <v/>
      </c>
      <c r="V41" s="3">
        <f>IFERROR(AVERAGEIFS(Mesures!$I:$I,Mesures!$F:$F,$A41,Mesures!$C:$C,V$40),"")</f>
        <v/>
      </c>
      <c r="W41" s="3">
        <f>IFERROR(AVERAGEIFS(Mesures!$I:$I,Mesures!$F:$F,$A41,Mesures!$C:$C,W$40),"")</f>
        <v/>
      </c>
      <c r="X41" s="3">
        <f>IFERROR(AVERAGEIFS(Mesures!$I:$I,Mesures!$F:$F,$A41,Mesures!$C:$C,X$40),"")</f>
        <v/>
      </c>
      <c r="Y41" s="3">
        <f>IFERROR(AVERAGEIFS(Mesures!$I:$I,Mesures!$F:$F,$A41,Mesures!$C:$C,Y$40),"")</f>
        <v/>
      </c>
      <c r="Z41" s="3">
        <f>IFERROR(AVERAGEIFS(Mesures!$I:$I,Mesures!$F:$F,$A41,Mesures!$C:$C,Z$40),"")</f>
        <v/>
      </c>
      <c r="AA41" s="3">
        <f>IFERROR(AVERAGEIFS(Mesures!$I:$I,Mesures!$F:$F,$A41,Mesures!$C:$C,AA$40),"")</f>
        <v/>
      </c>
      <c r="AB41" s="3">
        <f>IFERROR(AVERAGEIFS(Mesures!$I:$I,Mesures!$F:$F,$A41,Mesures!$C:$C,AB$40),"")</f>
        <v/>
      </c>
      <c r="AC41" s="3">
        <f>IFERROR(AVERAGEIFS(Mesures!$I:$I,Mesures!$F:$F,$A41,Mesures!$C:$C,AC$40),"")</f>
        <v/>
      </c>
      <c r="AD41" s="3">
        <f>IFERROR(AVERAGEIFS(Mesures!$I:$I,Mesures!$F:$F,$A41,Mesures!$C:$C,AD$40),"")</f>
        <v/>
      </c>
      <c r="AE41" s="3">
        <f>IFERROR(AVERAGEIFS(Mesures!$I:$I,Mesures!$F:$F,$A41,Mesures!$C:$C,AE$40),"")</f>
        <v/>
      </c>
      <c r="AF41" s="3">
        <f>IFERROR(AVERAGEIFS(Mesures!$I:$I,Mesures!$F:$F,$A41,Mesures!$C:$C,AF$40),"")</f>
        <v/>
      </c>
      <c r="AG41" s="3">
        <f>IFERROR(AVERAGEIFS(Mesures!$I:$I,Mesures!$F:$F,$A41,Mesures!$C:$C,AG$40),"")</f>
        <v/>
      </c>
      <c r="AH41" s="3">
        <f>IFERROR(AVERAGEIFS(Mesures!$I:$I,Mesures!$F:$F,$A41,Mesures!$C:$C,AH$40),"")</f>
        <v/>
      </c>
      <c r="AI41" s="3">
        <f>IFERROR(AVERAGEIFS(Mesures!$I:$I,Mesures!$F:$F,$A41,Mesures!$C:$C,AI$40),"")</f>
        <v/>
      </c>
      <c r="AJ41" s="3">
        <f>IFERROR(AVERAGEIFS(Mesures!$I:$I,Mesures!$F:$F,$A41,Mesures!$C:$C,AJ$40),"")</f>
        <v/>
      </c>
      <c r="AK41" s="3">
        <f>IFERROR(AVERAGEIFS(Mesures!$I:$I,Mesures!$F:$F,$A41,Mesures!$C:$C,AK$40),"")</f>
        <v/>
      </c>
      <c r="AL41" s="3">
        <f>IFERROR(AVERAGEIFS(Mesures!$I:$I,Mesures!$F:$F,$A41,Mesures!$C:$C,AL$40),"")</f>
        <v/>
      </c>
      <c r="AM41" s="3">
        <f>IFERROR(AVERAGEIFS(Mesures!$I:$I,Mesures!$F:$F,$A41,Mesures!$C:$C,AM$40),"")</f>
        <v/>
      </c>
      <c r="AN41" s="3">
        <f>IFERROR(AVERAGEIFS(Mesures!$I:$I,Mesures!$F:$F,$A41,Mesures!$C:$C,AN$40),"")</f>
        <v/>
      </c>
      <c r="AO41" s="3">
        <f>IFERROR(AVERAGEIFS(Mesures!$I:$I,Mesures!$F:$F,$A41,Mesures!$C:$C,AO$40),"")</f>
        <v/>
      </c>
      <c r="AP41" s="3">
        <f>IFERROR(AVERAGEIFS(Mesures!$I:$I,Mesures!$F:$F,$A41,Mesures!$C:$C,AP$40),"")</f>
        <v/>
      </c>
      <c r="AQ41" s="3">
        <f>IFERROR(AVERAGEIFS(Mesures!$I:$I,Mesures!$F:$F,$A41,Mesures!$C:$C,AQ$40),"")</f>
        <v/>
      </c>
      <c r="AR41" s="3">
        <f>IFERROR(AVERAGEIFS(Mesures!$I:$I,Mesures!$F:$F,$A41,Mesures!$C:$C,AR$40),"")</f>
        <v/>
      </c>
      <c r="AS41" s="3">
        <f>IFERROR(AVERAGEIFS(Mesures!$I:$I,Mesures!$F:$F,$A41,Mesures!$C:$C,AS$40),"")</f>
        <v/>
      </c>
      <c r="AT41" s="3">
        <f>IFERROR(AVERAGEIFS(Mesures!$I:$I,Mesures!$F:$F,$A41,Mesures!$C:$C,AT$40),"")</f>
        <v/>
      </c>
      <c r="AU41" s="3">
        <f>IFERROR(AVERAGEIFS(Mesures!$I:$I,Mesures!$F:$F,$A41,Mesures!$C:$C,AU$40),"")</f>
        <v/>
      </c>
      <c r="AV41" s="3">
        <f>IFERROR(AVERAGEIFS(Mesures!$I:$I,Mesures!$F:$F,$A41,Mesures!$C:$C,AV$40),"")</f>
        <v/>
      </c>
      <c r="AW41" s="3">
        <f>IFERROR(AVERAGEIFS(Mesures!$I:$I,Mesures!$F:$F,$A41,Mesures!$C:$C,AW$40),"")</f>
        <v/>
      </c>
      <c r="AX41" s="3">
        <f>IFERROR(AVERAGEIFS(Mesures!$I:$I,Mesures!$F:$F,$A41,Mesures!$C:$C,AX$40),"")</f>
        <v/>
      </c>
      <c r="AY41" s="3">
        <f>IFERROR(AVERAGEIFS(Mesures!$I:$I,Mesures!$F:$F,$A41,Mesures!$C:$C,AY$40),"")</f>
        <v/>
      </c>
      <c r="AZ41" s="3">
        <f>IFERROR(AVERAGEIFS(Mesures!$I:$I,Mesures!$F:$F,$A41,Mesures!$C:$C,AZ$40),"")</f>
        <v/>
      </c>
      <c r="BA41" s="3">
        <f>IFERROR(AVERAGEIFS(Mesures!$I:$I,Mesures!$F:$F,$A41,Mesures!$C:$C,BA$40),"")</f>
        <v/>
      </c>
      <c r="BB41" s="3">
        <f>IFERROR(AVERAGEIFS(Mesures!$I:$I,Mesures!$F:$F,$A41,Mesures!$C:$C,BB$40),"")</f>
        <v/>
      </c>
      <c r="BC41" s="3">
        <f>IFERROR(AVERAGEIFS(Mesures!$I:$I,Mesures!$F:$F,$A41,Mesures!$C:$C,BC$40),"")</f>
        <v/>
      </c>
      <c r="BD41" s="3">
        <f>IFERROR(AVERAGEIFS(Mesures!$I:$I,Mesures!$F:$F,$A41,Mesures!$C:$C,BD$40),"")</f>
        <v/>
      </c>
      <c r="BE41" s="3">
        <f>IFERROR(AVERAGEIFS(Mesures!$I:$I,Mesures!$F:$F,$A41,Mesures!$C:$C,BE$40),"")</f>
        <v/>
      </c>
      <c r="BF41" s="3">
        <f>IFERROR(AVERAGEIFS(Mesures!$I:$I,Mesures!$F:$F,$A41,Mesures!$C:$C,BF$40),"")</f>
        <v/>
      </c>
    </row>
    <row r="42">
      <c r="A42" s="2" t="inlineStr">
        <is>
          <t>defaut / scene</t>
        </is>
      </c>
      <c r="B42" s="3">
        <f>IFERROR(AVERAGEIFS(Mesures!$I:$I,Mesures!$F:$F,$A42,Mesures!$C:$C,B$40),"")</f>
        <v/>
      </c>
      <c r="C42" s="3">
        <f>IFERROR(AVERAGEIFS(Mesures!$I:$I,Mesures!$F:$F,$A42,Mesures!$C:$C,C$40),"")</f>
        <v/>
      </c>
      <c r="D42" s="3">
        <f>IFERROR(AVERAGEIFS(Mesures!$I:$I,Mesures!$F:$F,$A42,Mesures!$C:$C,D$40),"")</f>
        <v/>
      </c>
      <c r="E42" s="3">
        <f>IFERROR(AVERAGEIFS(Mesures!$I:$I,Mesures!$F:$F,$A42,Mesures!$C:$C,E$40),"")</f>
        <v/>
      </c>
      <c r="F42" s="3">
        <f>IFERROR(AVERAGEIFS(Mesures!$I:$I,Mesures!$F:$F,$A42,Mesures!$C:$C,F$40),"")</f>
        <v/>
      </c>
      <c r="G42" s="3">
        <f>IFERROR(AVERAGEIFS(Mesures!$I:$I,Mesures!$F:$F,$A42,Mesures!$C:$C,G$40),"")</f>
        <v/>
      </c>
      <c r="H42" s="3">
        <f>IFERROR(AVERAGEIFS(Mesures!$I:$I,Mesures!$F:$F,$A42,Mesures!$C:$C,H$40),"")</f>
        <v/>
      </c>
      <c r="I42" s="3">
        <f>IFERROR(AVERAGEIFS(Mesures!$I:$I,Mesures!$F:$F,$A42,Mesures!$C:$C,I$40),"")</f>
        <v/>
      </c>
      <c r="J42" s="3">
        <f>IFERROR(AVERAGEIFS(Mesures!$I:$I,Mesures!$F:$F,$A42,Mesures!$C:$C,J$40),"")</f>
        <v/>
      </c>
      <c r="K42" s="3">
        <f>IFERROR(AVERAGEIFS(Mesures!$I:$I,Mesures!$F:$F,$A42,Mesures!$C:$C,K$40),"")</f>
        <v/>
      </c>
      <c r="L42" s="3">
        <f>IFERROR(AVERAGEIFS(Mesures!$I:$I,Mesures!$F:$F,$A42,Mesures!$C:$C,L$40),"")</f>
        <v/>
      </c>
      <c r="M42" s="3">
        <f>IFERROR(AVERAGEIFS(Mesures!$I:$I,Mesures!$F:$F,$A42,Mesures!$C:$C,M$40),"")</f>
        <v/>
      </c>
      <c r="N42" s="3">
        <f>IFERROR(AVERAGEIFS(Mesures!$I:$I,Mesures!$F:$F,$A42,Mesures!$C:$C,N$40),"")</f>
        <v/>
      </c>
      <c r="O42" s="3">
        <f>IFERROR(AVERAGEIFS(Mesures!$I:$I,Mesures!$F:$F,$A42,Mesures!$C:$C,O$40),"")</f>
        <v/>
      </c>
      <c r="P42" s="3">
        <f>IFERROR(AVERAGEIFS(Mesures!$I:$I,Mesures!$F:$F,$A42,Mesures!$C:$C,P$40),"")</f>
        <v/>
      </c>
      <c r="Q42" s="3">
        <f>IFERROR(AVERAGEIFS(Mesures!$I:$I,Mesures!$F:$F,$A42,Mesures!$C:$C,Q$40),"")</f>
        <v/>
      </c>
      <c r="R42" s="3">
        <f>IFERROR(AVERAGEIFS(Mesures!$I:$I,Mesures!$F:$F,$A42,Mesures!$C:$C,R$40),"")</f>
        <v/>
      </c>
      <c r="S42" s="3">
        <f>IFERROR(AVERAGEIFS(Mesures!$I:$I,Mesures!$F:$F,$A42,Mesures!$C:$C,S$40),"")</f>
        <v/>
      </c>
      <c r="T42" s="3">
        <f>IFERROR(AVERAGEIFS(Mesures!$I:$I,Mesures!$F:$F,$A42,Mesures!$C:$C,T$40),"")</f>
        <v/>
      </c>
      <c r="U42" s="3">
        <f>IFERROR(AVERAGEIFS(Mesures!$I:$I,Mesures!$F:$F,$A42,Mesures!$C:$C,U$40),"")</f>
        <v/>
      </c>
      <c r="V42" s="3">
        <f>IFERROR(AVERAGEIFS(Mesures!$I:$I,Mesures!$F:$F,$A42,Mesures!$C:$C,V$40),"")</f>
        <v/>
      </c>
      <c r="W42" s="3">
        <f>IFERROR(AVERAGEIFS(Mesures!$I:$I,Mesures!$F:$F,$A42,Mesures!$C:$C,W$40),"")</f>
        <v/>
      </c>
      <c r="X42" s="3">
        <f>IFERROR(AVERAGEIFS(Mesures!$I:$I,Mesures!$F:$F,$A42,Mesures!$C:$C,X$40),"")</f>
        <v/>
      </c>
      <c r="Y42" s="3">
        <f>IFERROR(AVERAGEIFS(Mesures!$I:$I,Mesures!$F:$F,$A42,Mesures!$C:$C,Y$40),"")</f>
        <v/>
      </c>
      <c r="Z42" s="3">
        <f>IFERROR(AVERAGEIFS(Mesures!$I:$I,Mesures!$F:$F,$A42,Mesures!$C:$C,Z$40),"")</f>
        <v/>
      </c>
      <c r="AA42" s="3">
        <f>IFERROR(AVERAGEIFS(Mesures!$I:$I,Mesures!$F:$F,$A42,Mesures!$C:$C,AA$40),"")</f>
        <v/>
      </c>
      <c r="AB42" s="3">
        <f>IFERROR(AVERAGEIFS(Mesures!$I:$I,Mesures!$F:$F,$A42,Mesures!$C:$C,AB$40),"")</f>
        <v/>
      </c>
      <c r="AC42" s="3">
        <f>IFERROR(AVERAGEIFS(Mesures!$I:$I,Mesures!$F:$F,$A42,Mesures!$C:$C,AC$40),"")</f>
        <v/>
      </c>
      <c r="AD42" s="3">
        <f>IFERROR(AVERAGEIFS(Mesures!$I:$I,Mesures!$F:$F,$A42,Mesures!$C:$C,AD$40),"")</f>
        <v/>
      </c>
      <c r="AE42" s="3">
        <f>IFERROR(AVERAGEIFS(Mesures!$I:$I,Mesures!$F:$F,$A42,Mesures!$C:$C,AE$40),"")</f>
        <v/>
      </c>
      <c r="AF42" s="3">
        <f>IFERROR(AVERAGEIFS(Mesures!$I:$I,Mesures!$F:$F,$A42,Mesures!$C:$C,AF$40),"")</f>
        <v/>
      </c>
      <c r="AG42" s="3">
        <f>IFERROR(AVERAGEIFS(Mesures!$I:$I,Mesures!$F:$F,$A42,Mesures!$C:$C,AG$40),"")</f>
        <v/>
      </c>
      <c r="AH42" s="3">
        <f>IFERROR(AVERAGEIFS(Mesures!$I:$I,Mesures!$F:$F,$A42,Mesures!$C:$C,AH$40),"")</f>
        <v/>
      </c>
      <c r="AI42" s="3">
        <f>IFERROR(AVERAGEIFS(Mesures!$I:$I,Mesures!$F:$F,$A42,Mesures!$C:$C,AI$40),"")</f>
        <v/>
      </c>
      <c r="AJ42" s="3">
        <f>IFERROR(AVERAGEIFS(Mesures!$I:$I,Mesures!$F:$F,$A42,Mesures!$C:$C,AJ$40),"")</f>
        <v/>
      </c>
      <c r="AK42" s="3">
        <f>IFERROR(AVERAGEIFS(Mesures!$I:$I,Mesures!$F:$F,$A42,Mesures!$C:$C,AK$40),"")</f>
        <v/>
      </c>
      <c r="AL42" s="3">
        <f>IFERROR(AVERAGEIFS(Mesures!$I:$I,Mesures!$F:$F,$A42,Mesures!$C:$C,AL$40),"")</f>
        <v/>
      </c>
      <c r="AM42" s="3">
        <f>IFERROR(AVERAGEIFS(Mesures!$I:$I,Mesures!$F:$F,$A42,Mesures!$C:$C,AM$40),"")</f>
        <v/>
      </c>
      <c r="AN42" s="3">
        <f>IFERROR(AVERAGEIFS(Mesures!$I:$I,Mesures!$F:$F,$A42,Mesures!$C:$C,AN$40),"")</f>
        <v/>
      </c>
      <c r="AO42" s="3">
        <f>IFERROR(AVERAGEIFS(Mesures!$I:$I,Mesures!$F:$F,$A42,Mesures!$C:$C,AO$40),"")</f>
        <v/>
      </c>
      <c r="AP42" s="3">
        <f>IFERROR(AVERAGEIFS(Mesures!$I:$I,Mesures!$F:$F,$A42,Mesures!$C:$C,AP$40),"")</f>
        <v/>
      </c>
      <c r="AQ42" s="3">
        <f>IFERROR(AVERAGEIFS(Mesures!$I:$I,Mesures!$F:$F,$A42,Mesures!$C:$C,AQ$40),"")</f>
        <v/>
      </c>
      <c r="AR42" s="3">
        <f>IFERROR(AVERAGEIFS(Mesures!$I:$I,Mesures!$F:$F,$A42,Mesures!$C:$C,AR$40),"")</f>
        <v/>
      </c>
      <c r="AS42" s="3">
        <f>IFERROR(AVERAGEIFS(Mesures!$I:$I,Mesures!$F:$F,$A42,Mesures!$C:$C,AS$40),"")</f>
        <v/>
      </c>
      <c r="AT42" s="3">
        <f>IFERROR(AVERAGEIFS(Mesures!$I:$I,Mesures!$F:$F,$A42,Mesures!$C:$C,AT$40),"")</f>
        <v/>
      </c>
      <c r="AU42" s="3">
        <f>IFERROR(AVERAGEIFS(Mesures!$I:$I,Mesures!$F:$F,$A42,Mesures!$C:$C,AU$40),"")</f>
        <v/>
      </c>
      <c r="AV42" s="3">
        <f>IFERROR(AVERAGEIFS(Mesures!$I:$I,Mesures!$F:$F,$A42,Mesures!$C:$C,AV$40),"")</f>
        <v/>
      </c>
      <c r="AW42" s="3">
        <f>IFERROR(AVERAGEIFS(Mesures!$I:$I,Mesures!$F:$F,$A42,Mesures!$C:$C,AW$40),"")</f>
        <v/>
      </c>
      <c r="AX42" s="3">
        <f>IFERROR(AVERAGEIFS(Mesures!$I:$I,Mesures!$F:$F,$A42,Mesures!$C:$C,AX$40),"")</f>
        <v/>
      </c>
      <c r="AY42" s="3">
        <f>IFERROR(AVERAGEIFS(Mesures!$I:$I,Mesures!$F:$F,$A42,Mesures!$C:$C,AY$40),"")</f>
        <v/>
      </c>
      <c r="AZ42" s="3">
        <f>IFERROR(AVERAGEIFS(Mesures!$I:$I,Mesures!$F:$F,$A42,Mesures!$C:$C,AZ$40),"")</f>
        <v/>
      </c>
      <c r="BA42" s="3">
        <f>IFERROR(AVERAGEIFS(Mesures!$I:$I,Mesures!$F:$F,$A42,Mesures!$C:$C,BA$40),"")</f>
        <v/>
      </c>
      <c r="BB42" s="3">
        <f>IFERROR(AVERAGEIFS(Mesures!$I:$I,Mesures!$F:$F,$A42,Mesures!$C:$C,BB$40),"")</f>
        <v/>
      </c>
      <c r="BC42" s="3">
        <f>IFERROR(AVERAGEIFS(Mesures!$I:$I,Mesures!$F:$F,$A42,Mesures!$C:$C,BC$40),"")</f>
        <v/>
      </c>
      <c r="BD42" s="3">
        <f>IFERROR(AVERAGEIFS(Mesures!$I:$I,Mesures!$F:$F,$A42,Mesures!$C:$C,BD$40),"")</f>
        <v/>
      </c>
      <c r="BE42" s="3">
        <f>IFERROR(AVERAGEIFS(Mesures!$I:$I,Mesures!$F:$F,$A42,Mesures!$C:$C,BE$40),"")</f>
        <v/>
      </c>
      <c r="BF42" s="3">
        <f>IFERROR(AVERAGEIFS(Mesures!$I:$I,Mesures!$F:$F,$A42,Mesures!$C:$C,BF$40),"")</f>
        <v/>
      </c>
    </row>
    <row r="43">
      <c r="A43" s="2" t="inlineStr">
        <is>
          <t>defaut / sous les trusses</t>
        </is>
      </c>
      <c r="B43" s="3">
        <f>IFERROR(AVERAGEIFS(Mesures!$I:$I,Mesures!$F:$F,$A43,Mesures!$C:$C,B$40),"")</f>
        <v/>
      </c>
      <c r="C43" s="3">
        <f>IFERROR(AVERAGEIFS(Mesures!$I:$I,Mesures!$F:$F,$A43,Mesures!$C:$C,C$40),"")</f>
        <v/>
      </c>
      <c r="D43" s="3">
        <f>IFERROR(AVERAGEIFS(Mesures!$I:$I,Mesures!$F:$F,$A43,Mesures!$C:$C,D$40),"")</f>
        <v/>
      </c>
      <c r="E43" s="3">
        <f>IFERROR(AVERAGEIFS(Mesures!$I:$I,Mesures!$F:$F,$A43,Mesures!$C:$C,E$40),"")</f>
        <v/>
      </c>
      <c r="F43" s="3">
        <f>IFERROR(AVERAGEIFS(Mesures!$I:$I,Mesures!$F:$F,$A43,Mesures!$C:$C,F$40),"")</f>
        <v/>
      </c>
      <c r="G43" s="3">
        <f>IFERROR(AVERAGEIFS(Mesures!$I:$I,Mesures!$F:$F,$A43,Mesures!$C:$C,G$40),"")</f>
        <v/>
      </c>
      <c r="H43" s="3">
        <f>IFERROR(AVERAGEIFS(Mesures!$I:$I,Mesures!$F:$F,$A43,Mesures!$C:$C,H$40),"")</f>
        <v/>
      </c>
      <c r="I43" s="3">
        <f>IFERROR(AVERAGEIFS(Mesures!$I:$I,Mesures!$F:$F,$A43,Mesures!$C:$C,I$40),"")</f>
        <v/>
      </c>
      <c r="J43" s="3">
        <f>IFERROR(AVERAGEIFS(Mesures!$I:$I,Mesures!$F:$F,$A43,Mesures!$C:$C,J$40),"")</f>
        <v/>
      </c>
      <c r="K43" s="3">
        <f>IFERROR(AVERAGEIFS(Mesures!$I:$I,Mesures!$F:$F,$A43,Mesures!$C:$C,K$40),"")</f>
        <v/>
      </c>
      <c r="L43" s="3">
        <f>IFERROR(AVERAGEIFS(Mesures!$I:$I,Mesures!$F:$F,$A43,Mesures!$C:$C,L$40),"")</f>
        <v/>
      </c>
      <c r="M43" s="3">
        <f>IFERROR(AVERAGEIFS(Mesures!$I:$I,Mesures!$F:$F,$A43,Mesures!$C:$C,M$40),"")</f>
        <v/>
      </c>
      <c r="N43" s="3">
        <f>IFERROR(AVERAGEIFS(Mesures!$I:$I,Mesures!$F:$F,$A43,Mesures!$C:$C,N$40),"")</f>
        <v/>
      </c>
      <c r="O43" s="3">
        <f>IFERROR(AVERAGEIFS(Mesures!$I:$I,Mesures!$F:$F,$A43,Mesures!$C:$C,O$40),"")</f>
        <v/>
      </c>
      <c r="P43" s="3">
        <f>IFERROR(AVERAGEIFS(Mesures!$I:$I,Mesures!$F:$F,$A43,Mesures!$C:$C,P$40),"")</f>
        <v/>
      </c>
      <c r="Q43" s="3">
        <f>IFERROR(AVERAGEIFS(Mesures!$I:$I,Mesures!$F:$F,$A43,Mesures!$C:$C,Q$40),"")</f>
        <v/>
      </c>
      <c r="R43" s="3">
        <f>IFERROR(AVERAGEIFS(Mesures!$I:$I,Mesures!$F:$F,$A43,Mesures!$C:$C,R$40),"")</f>
        <v/>
      </c>
      <c r="S43" s="3">
        <f>IFERROR(AVERAGEIFS(Mesures!$I:$I,Mesures!$F:$F,$A43,Mesures!$C:$C,S$40),"")</f>
        <v/>
      </c>
      <c r="T43" s="3">
        <f>IFERROR(AVERAGEIFS(Mesures!$I:$I,Mesures!$F:$F,$A43,Mesures!$C:$C,T$40),"")</f>
        <v/>
      </c>
      <c r="U43" s="3">
        <f>IFERROR(AVERAGEIFS(Mesures!$I:$I,Mesures!$F:$F,$A43,Mesures!$C:$C,U$40),"")</f>
        <v/>
      </c>
      <c r="V43" s="3">
        <f>IFERROR(AVERAGEIFS(Mesures!$I:$I,Mesures!$F:$F,$A43,Mesures!$C:$C,V$40),"")</f>
        <v/>
      </c>
      <c r="W43" s="3">
        <f>IFERROR(AVERAGEIFS(Mesures!$I:$I,Mesures!$F:$F,$A43,Mesures!$C:$C,W$40),"")</f>
        <v/>
      </c>
      <c r="X43" s="3">
        <f>IFERROR(AVERAGEIFS(Mesures!$I:$I,Mesures!$F:$F,$A43,Mesures!$C:$C,X$40),"")</f>
        <v/>
      </c>
      <c r="Y43" s="3">
        <f>IFERROR(AVERAGEIFS(Mesures!$I:$I,Mesures!$F:$F,$A43,Mesures!$C:$C,Y$40),"")</f>
        <v/>
      </c>
      <c r="Z43" s="3">
        <f>IFERROR(AVERAGEIFS(Mesures!$I:$I,Mesures!$F:$F,$A43,Mesures!$C:$C,Z$40),"")</f>
        <v/>
      </c>
      <c r="AA43" s="3">
        <f>IFERROR(AVERAGEIFS(Mesures!$I:$I,Mesures!$F:$F,$A43,Mesures!$C:$C,AA$40),"")</f>
        <v/>
      </c>
      <c r="AB43" s="3">
        <f>IFERROR(AVERAGEIFS(Mesures!$I:$I,Mesures!$F:$F,$A43,Mesures!$C:$C,AB$40),"")</f>
        <v/>
      </c>
      <c r="AC43" s="3">
        <f>IFERROR(AVERAGEIFS(Mesures!$I:$I,Mesures!$F:$F,$A43,Mesures!$C:$C,AC$40),"")</f>
        <v/>
      </c>
      <c r="AD43" s="3">
        <f>IFERROR(AVERAGEIFS(Mesures!$I:$I,Mesures!$F:$F,$A43,Mesures!$C:$C,AD$40),"")</f>
        <v/>
      </c>
      <c r="AE43" s="3">
        <f>IFERROR(AVERAGEIFS(Mesures!$I:$I,Mesures!$F:$F,$A43,Mesures!$C:$C,AE$40),"")</f>
        <v/>
      </c>
      <c r="AF43" s="3">
        <f>IFERROR(AVERAGEIFS(Mesures!$I:$I,Mesures!$F:$F,$A43,Mesures!$C:$C,AF$40),"")</f>
        <v/>
      </c>
      <c r="AG43" s="3">
        <f>IFERROR(AVERAGEIFS(Mesures!$I:$I,Mesures!$F:$F,$A43,Mesures!$C:$C,AG$40),"")</f>
        <v/>
      </c>
      <c r="AH43" s="3">
        <f>IFERROR(AVERAGEIFS(Mesures!$I:$I,Mesures!$F:$F,$A43,Mesures!$C:$C,AH$40),"")</f>
        <v/>
      </c>
      <c r="AI43" s="3">
        <f>IFERROR(AVERAGEIFS(Mesures!$I:$I,Mesures!$F:$F,$A43,Mesures!$C:$C,AI$40),"")</f>
        <v/>
      </c>
      <c r="AJ43" s="3">
        <f>IFERROR(AVERAGEIFS(Mesures!$I:$I,Mesures!$F:$F,$A43,Mesures!$C:$C,AJ$40),"")</f>
        <v/>
      </c>
      <c r="AK43" s="3">
        <f>IFERROR(AVERAGEIFS(Mesures!$I:$I,Mesures!$F:$F,$A43,Mesures!$C:$C,AK$40),"")</f>
        <v/>
      </c>
      <c r="AL43" s="3">
        <f>IFERROR(AVERAGEIFS(Mesures!$I:$I,Mesures!$F:$F,$A43,Mesures!$C:$C,AL$40),"")</f>
        <v/>
      </c>
      <c r="AM43" s="3">
        <f>IFERROR(AVERAGEIFS(Mesures!$I:$I,Mesures!$F:$F,$A43,Mesures!$C:$C,AM$40),"")</f>
        <v/>
      </c>
      <c r="AN43" s="3">
        <f>IFERROR(AVERAGEIFS(Mesures!$I:$I,Mesures!$F:$F,$A43,Mesures!$C:$C,AN$40),"")</f>
        <v/>
      </c>
      <c r="AO43" s="3">
        <f>IFERROR(AVERAGEIFS(Mesures!$I:$I,Mesures!$F:$F,$A43,Mesures!$C:$C,AO$40),"")</f>
        <v/>
      </c>
      <c r="AP43" s="3">
        <f>IFERROR(AVERAGEIFS(Mesures!$I:$I,Mesures!$F:$F,$A43,Mesures!$C:$C,AP$40),"")</f>
        <v/>
      </c>
      <c r="AQ43" s="3">
        <f>IFERROR(AVERAGEIFS(Mesures!$I:$I,Mesures!$F:$F,$A43,Mesures!$C:$C,AQ$40),"")</f>
        <v/>
      </c>
      <c r="AR43" s="3">
        <f>IFERROR(AVERAGEIFS(Mesures!$I:$I,Mesures!$F:$F,$A43,Mesures!$C:$C,AR$40),"")</f>
        <v/>
      </c>
      <c r="AS43" s="3">
        <f>IFERROR(AVERAGEIFS(Mesures!$I:$I,Mesures!$F:$F,$A43,Mesures!$C:$C,AS$40),"")</f>
        <v/>
      </c>
      <c r="AT43" s="3">
        <f>IFERROR(AVERAGEIFS(Mesures!$I:$I,Mesures!$F:$F,$A43,Mesures!$C:$C,AT$40),"")</f>
        <v/>
      </c>
      <c r="AU43" s="3">
        <f>IFERROR(AVERAGEIFS(Mesures!$I:$I,Mesures!$F:$F,$A43,Mesures!$C:$C,AU$40),"")</f>
        <v/>
      </c>
      <c r="AV43" s="3">
        <f>IFERROR(AVERAGEIFS(Mesures!$I:$I,Mesures!$F:$F,$A43,Mesures!$C:$C,AV$40),"")</f>
        <v/>
      </c>
      <c r="AW43" s="3">
        <f>IFERROR(AVERAGEIFS(Mesures!$I:$I,Mesures!$F:$F,$A43,Mesures!$C:$C,AW$40),"")</f>
        <v/>
      </c>
      <c r="AX43" s="3">
        <f>IFERROR(AVERAGEIFS(Mesures!$I:$I,Mesures!$F:$F,$A43,Mesures!$C:$C,AX$40),"")</f>
        <v/>
      </c>
      <c r="AY43" s="3">
        <f>IFERROR(AVERAGEIFS(Mesures!$I:$I,Mesures!$F:$F,$A43,Mesures!$C:$C,AY$40),"")</f>
        <v/>
      </c>
      <c r="AZ43" s="3">
        <f>IFERROR(AVERAGEIFS(Mesures!$I:$I,Mesures!$F:$F,$A43,Mesures!$C:$C,AZ$40),"")</f>
        <v/>
      </c>
      <c r="BA43" s="3">
        <f>IFERROR(AVERAGEIFS(Mesures!$I:$I,Mesures!$F:$F,$A43,Mesures!$C:$C,BA$40),"")</f>
        <v/>
      </c>
      <c r="BB43" s="3">
        <f>IFERROR(AVERAGEIFS(Mesures!$I:$I,Mesures!$F:$F,$A43,Mesures!$C:$C,BB$40),"")</f>
        <v/>
      </c>
      <c r="BC43" s="3">
        <f>IFERROR(AVERAGEIFS(Mesures!$I:$I,Mesures!$F:$F,$A43,Mesures!$C:$C,BC$40),"")</f>
        <v/>
      </c>
      <c r="BD43" s="3">
        <f>IFERROR(AVERAGEIFS(Mesures!$I:$I,Mesures!$F:$F,$A43,Mesures!$C:$C,BD$40),"")</f>
        <v/>
      </c>
      <c r="BE43" s="3">
        <f>IFERROR(AVERAGEIFS(Mesures!$I:$I,Mesures!$F:$F,$A43,Mesures!$C:$C,BE$40),"")</f>
        <v/>
      </c>
      <c r="BF43" s="3">
        <f>IFERROR(AVERAGEIFS(Mesures!$I:$I,Mesures!$F:$F,$A43,Mesures!$C:$C,BF$40),"")</f>
        <v/>
      </c>
    </row>
    <row r="44">
      <c r="A44" s="2" t="inlineStr">
        <is>
          <t>gobo + prisme 8 + zoom 25 / public</t>
        </is>
      </c>
      <c r="B44" s="3">
        <f>IFERROR(AVERAGEIFS(Mesures!$I:$I,Mesures!$F:$F,$A44,Mesures!$C:$C,B$40),"")</f>
        <v/>
      </c>
      <c r="C44" s="3">
        <f>IFERROR(AVERAGEIFS(Mesures!$I:$I,Mesures!$F:$F,$A44,Mesures!$C:$C,C$40),"")</f>
        <v/>
      </c>
      <c r="D44" s="3">
        <f>IFERROR(AVERAGEIFS(Mesures!$I:$I,Mesures!$F:$F,$A44,Mesures!$C:$C,D$40),"")</f>
        <v/>
      </c>
      <c r="E44" s="3">
        <f>IFERROR(AVERAGEIFS(Mesures!$I:$I,Mesures!$F:$F,$A44,Mesures!$C:$C,E$40),"")</f>
        <v/>
      </c>
      <c r="F44" s="3">
        <f>IFERROR(AVERAGEIFS(Mesures!$I:$I,Mesures!$F:$F,$A44,Mesures!$C:$C,F$40),"")</f>
        <v/>
      </c>
      <c r="G44" s="3">
        <f>IFERROR(AVERAGEIFS(Mesures!$I:$I,Mesures!$F:$F,$A44,Mesures!$C:$C,G$40),"")</f>
        <v/>
      </c>
      <c r="H44" s="3">
        <f>IFERROR(AVERAGEIFS(Mesures!$I:$I,Mesures!$F:$F,$A44,Mesures!$C:$C,H$40),"")</f>
        <v/>
      </c>
      <c r="I44" s="3">
        <f>IFERROR(AVERAGEIFS(Mesures!$I:$I,Mesures!$F:$F,$A44,Mesures!$C:$C,I$40),"")</f>
        <v/>
      </c>
      <c r="J44" s="3">
        <f>IFERROR(AVERAGEIFS(Mesures!$I:$I,Mesures!$F:$F,$A44,Mesures!$C:$C,J$40),"")</f>
        <v/>
      </c>
      <c r="K44" s="3">
        <f>IFERROR(AVERAGEIFS(Mesures!$I:$I,Mesures!$F:$F,$A44,Mesures!$C:$C,K$40),"")</f>
        <v/>
      </c>
      <c r="L44" s="3">
        <f>IFERROR(AVERAGEIFS(Mesures!$I:$I,Mesures!$F:$F,$A44,Mesures!$C:$C,L$40),"")</f>
        <v/>
      </c>
      <c r="M44" s="3">
        <f>IFERROR(AVERAGEIFS(Mesures!$I:$I,Mesures!$F:$F,$A44,Mesures!$C:$C,M$40),"")</f>
        <v/>
      </c>
      <c r="N44" s="3">
        <f>IFERROR(AVERAGEIFS(Mesures!$I:$I,Mesures!$F:$F,$A44,Mesures!$C:$C,N$40),"")</f>
        <v/>
      </c>
      <c r="O44" s="3">
        <f>IFERROR(AVERAGEIFS(Mesures!$I:$I,Mesures!$F:$F,$A44,Mesures!$C:$C,O$40),"")</f>
        <v/>
      </c>
      <c r="P44" s="3">
        <f>IFERROR(AVERAGEIFS(Mesures!$I:$I,Mesures!$F:$F,$A44,Mesures!$C:$C,P$40),"")</f>
        <v/>
      </c>
      <c r="Q44" s="3">
        <f>IFERROR(AVERAGEIFS(Mesures!$I:$I,Mesures!$F:$F,$A44,Mesures!$C:$C,Q$40),"")</f>
        <v/>
      </c>
      <c r="R44" s="3">
        <f>IFERROR(AVERAGEIFS(Mesures!$I:$I,Mesures!$F:$F,$A44,Mesures!$C:$C,R$40),"")</f>
        <v/>
      </c>
      <c r="S44" s="3">
        <f>IFERROR(AVERAGEIFS(Mesures!$I:$I,Mesures!$F:$F,$A44,Mesures!$C:$C,S$40),"")</f>
        <v/>
      </c>
      <c r="T44" s="3">
        <f>IFERROR(AVERAGEIFS(Mesures!$I:$I,Mesures!$F:$F,$A44,Mesures!$C:$C,T$40),"")</f>
        <v/>
      </c>
      <c r="U44" s="3">
        <f>IFERROR(AVERAGEIFS(Mesures!$I:$I,Mesures!$F:$F,$A44,Mesures!$C:$C,U$40),"")</f>
        <v/>
      </c>
      <c r="V44" s="3">
        <f>IFERROR(AVERAGEIFS(Mesures!$I:$I,Mesures!$F:$F,$A44,Mesures!$C:$C,V$40),"")</f>
        <v/>
      </c>
      <c r="W44" s="3">
        <f>IFERROR(AVERAGEIFS(Mesures!$I:$I,Mesures!$F:$F,$A44,Mesures!$C:$C,W$40),"")</f>
        <v/>
      </c>
      <c r="X44" s="3">
        <f>IFERROR(AVERAGEIFS(Mesures!$I:$I,Mesures!$F:$F,$A44,Mesures!$C:$C,X$40),"")</f>
        <v/>
      </c>
      <c r="Y44" s="3">
        <f>IFERROR(AVERAGEIFS(Mesures!$I:$I,Mesures!$F:$F,$A44,Mesures!$C:$C,Y$40),"")</f>
        <v/>
      </c>
      <c r="Z44" s="3">
        <f>IFERROR(AVERAGEIFS(Mesures!$I:$I,Mesures!$F:$F,$A44,Mesures!$C:$C,Z$40),"")</f>
        <v/>
      </c>
      <c r="AA44" s="3">
        <f>IFERROR(AVERAGEIFS(Mesures!$I:$I,Mesures!$F:$F,$A44,Mesures!$C:$C,AA$40),"")</f>
        <v/>
      </c>
      <c r="AB44" s="3">
        <f>IFERROR(AVERAGEIFS(Mesures!$I:$I,Mesures!$F:$F,$A44,Mesures!$C:$C,AB$40),"")</f>
        <v/>
      </c>
      <c r="AC44" s="3">
        <f>IFERROR(AVERAGEIFS(Mesures!$I:$I,Mesures!$F:$F,$A44,Mesures!$C:$C,AC$40),"")</f>
        <v/>
      </c>
      <c r="AD44" s="3">
        <f>IFERROR(AVERAGEIFS(Mesures!$I:$I,Mesures!$F:$F,$A44,Mesures!$C:$C,AD$40),"")</f>
        <v/>
      </c>
      <c r="AE44" s="3">
        <f>IFERROR(AVERAGEIFS(Mesures!$I:$I,Mesures!$F:$F,$A44,Mesures!$C:$C,AE$40),"")</f>
        <v/>
      </c>
      <c r="AF44" s="3">
        <f>IFERROR(AVERAGEIFS(Mesures!$I:$I,Mesures!$F:$F,$A44,Mesures!$C:$C,AF$40),"")</f>
        <v/>
      </c>
      <c r="AG44" s="3">
        <f>IFERROR(AVERAGEIFS(Mesures!$I:$I,Mesures!$F:$F,$A44,Mesures!$C:$C,AG$40),"")</f>
        <v/>
      </c>
      <c r="AH44" s="3">
        <f>IFERROR(AVERAGEIFS(Mesures!$I:$I,Mesures!$F:$F,$A44,Mesures!$C:$C,AH$40),"")</f>
        <v/>
      </c>
      <c r="AI44" s="3">
        <f>IFERROR(AVERAGEIFS(Mesures!$I:$I,Mesures!$F:$F,$A44,Mesures!$C:$C,AI$40),"")</f>
        <v/>
      </c>
      <c r="AJ44" s="3">
        <f>IFERROR(AVERAGEIFS(Mesures!$I:$I,Mesures!$F:$F,$A44,Mesures!$C:$C,AJ$40),"")</f>
        <v/>
      </c>
      <c r="AK44" s="3">
        <f>IFERROR(AVERAGEIFS(Mesures!$I:$I,Mesures!$F:$F,$A44,Mesures!$C:$C,AK$40),"")</f>
        <v/>
      </c>
      <c r="AL44" s="3">
        <f>IFERROR(AVERAGEIFS(Mesures!$I:$I,Mesures!$F:$F,$A44,Mesures!$C:$C,AL$40),"")</f>
        <v/>
      </c>
      <c r="AM44" s="3">
        <f>IFERROR(AVERAGEIFS(Mesures!$I:$I,Mesures!$F:$F,$A44,Mesures!$C:$C,AM$40),"")</f>
        <v/>
      </c>
      <c r="AN44" s="3">
        <f>IFERROR(AVERAGEIFS(Mesures!$I:$I,Mesures!$F:$F,$A44,Mesures!$C:$C,AN$40),"")</f>
        <v/>
      </c>
      <c r="AO44" s="3">
        <f>IFERROR(AVERAGEIFS(Mesures!$I:$I,Mesures!$F:$F,$A44,Mesures!$C:$C,AO$40),"")</f>
        <v/>
      </c>
      <c r="AP44" s="3">
        <f>IFERROR(AVERAGEIFS(Mesures!$I:$I,Mesures!$F:$F,$A44,Mesures!$C:$C,AP$40),"")</f>
        <v/>
      </c>
      <c r="AQ44" s="3">
        <f>IFERROR(AVERAGEIFS(Mesures!$I:$I,Mesures!$F:$F,$A44,Mesures!$C:$C,AQ$40),"")</f>
        <v/>
      </c>
      <c r="AR44" s="3">
        <f>IFERROR(AVERAGEIFS(Mesures!$I:$I,Mesures!$F:$F,$A44,Mesures!$C:$C,AR$40),"")</f>
        <v/>
      </c>
      <c r="AS44" s="3">
        <f>IFERROR(AVERAGEIFS(Mesures!$I:$I,Mesures!$F:$F,$A44,Mesures!$C:$C,AS$40),"")</f>
        <v/>
      </c>
      <c r="AT44" s="3">
        <f>IFERROR(AVERAGEIFS(Mesures!$I:$I,Mesures!$F:$F,$A44,Mesures!$C:$C,AT$40),"")</f>
        <v/>
      </c>
      <c r="AU44" s="3">
        <f>IFERROR(AVERAGEIFS(Mesures!$I:$I,Mesures!$F:$F,$A44,Mesures!$C:$C,AU$40),"")</f>
        <v/>
      </c>
      <c r="AV44" s="3">
        <f>IFERROR(AVERAGEIFS(Mesures!$I:$I,Mesures!$F:$F,$A44,Mesures!$C:$C,AV$40),"")</f>
        <v/>
      </c>
      <c r="AW44" s="3">
        <f>IFERROR(AVERAGEIFS(Mesures!$I:$I,Mesures!$F:$F,$A44,Mesures!$C:$C,AW$40),"")</f>
        <v/>
      </c>
      <c r="AX44" s="3">
        <f>IFERROR(AVERAGEIFS(Mesures!$I:$I,Mesures!$F:$F,$A44,Mesures!$C:$C,AX$40),"")</f>
        <v/>
      </c>
      <c r="AY44" s="3">
        <f>IFERROR(AVERAGEIFS(Mesures!$I:$I,Mesures!$F:$F,$A44,Mesures!$C:$C,AY$40),"")</f>
        <v/>
      </c>
      <c r="AZ44" s="3">
        <f>IFERROR(AVERAGEIFS(Mesures!$I:$I,Mesures!$F:$F,$A44,Mesures!$C:$C,AZ$40),"")</f>
        <v/>
      </c>
      <c r="BA44" s="3">
        <f>IFERROR(AVERAGEIFS(Mesures!$I:$I,Mesures!$F:$F,$A44,Mesures!$C:$C,BA$40),"")</f>
        <v/>
      </c>
      <c r="BB44" s="3">
        <f>IFERROR(AVERAGEIFS(Mesures!$I:$I,Mesures!$F:$F,$A44,Mesures!$C:$C,BB$40),"")</f>
        <v/>
      </c>
      <c r="BC44" s="3">
        <f>IFERROR(AVERAGEIFS(Mesures!$I:$I,Mesures!$F:$F,$A44,Mesures!$C:$C,BC$40),"")</f>
        <v/>
      </c>
      <c r="BD44" s="3">
        <f>IFERROR(AVERAGEIFS(Mesures!$I:$I,Mesures!$F:$F,$A44,Mesures!$C:$C,BD$40),"")</f>
        <v/>
      </c>
      <c r="BE44" s="3">
        <f>IFERROR(AVERAGEIFS(Mesures!$I:$I,Mesures!$F:$F,$A44,Mesures!$C:$C,BE$40),"")</f>
        <v/>
      </c>
      <c r="BF44" s="3">
        <f>IFERROR(AVERAGEIFS(Mesures!$I:$I,Mesures!$F:$F,$A44,Mesures!$C:$C,BF$40),"")</f>
        <v/>
      </c>
    </row>
    <row r="45">
      <c r="A45" s="2" t="inlineStr">
        <is>
          <t>gobo + prisme 8 + zoom 25 / scene</t>
        </is>
      </c>
      <c r="B45" s="3">
        <f>IFERROR(AVERAGEIFS(Mesures!$I:$I,Mesures!$F:$F,$A45,Mesures!$C:$C,B$40),"")</f>
        <v/>
      </c>
      <c r="C45" s="3">
        <f>IFERROR(AVERAGEIFS(Mesures!$I:$I,Mesures!$F:$F,$A45,Mesures!$C:$C,C$40),"")</f>
        <v/>
      </c>
      <c r="D45" s="3">
        <f>IFERROR(AVERAGEIFS(Mesures!$I:$I,Mesures!$F:$F,$A45,Mesures!$C:$C,D$40),"")</f>
        <v/>
      </c>
      <c r="E45" s="3">
        <f>IFERROR(AVERAGEIFS(Mesures!$I:$I,Mesures!$F:$F,$A45,Mesures!$C:$C,E$40),"")</f>
        <v/>
      </c>
      <c r="F45" s="3">
        <f>IFERROR(AVERAGEIFS(Mesures!$I:$I,Mesures!$F:$F,$A45,Mesures!$C:$C,F$40),"")</f>
        <v/>
      </c>
      <c r="G45" s="3">
        <f>IFERROR(AVERAGEIFS(Mesures!$I:$I,Mesures!$F:$F,$A45,Mesures!$C:$C,G$40),"")</f>
        <v/>
      </c>
      <c r="H45" s="3">
        <f>IFERROR(AVERAGEIFS(Mesures!$I:$I,Mesures!$F:$F,$A45,Mesures!$C:$C,H$40),"")</f>
        <v/>
      </c>
      <c r="I45" s="3">
        <f>IFERROR(AVERAGEIFS(Mesures!$I:$I,Mesures!$F:$F,$A45,Mesures!$C:$C,I$40),"")</f>
        <v/>
      </c>
      <c r="J45" s="3">
        <f>IFERROR(AVERAGEIFS(Mesures!$I:$I,Mesures!$F:$F,$A45,Mesures!$C:$C,J$40),"")</f>
        <v/>
      </c>
      <c r="K45" s="3">
        <f>IFERROR(AVERAGEIFS(Mesures!$I:$I,Mesures!$F:$F,$A45,Mesures!$C:$C,K$40),"")</f>
        <v/>
      </c>
      <c r="L45" s="3">
        <f>IFERROR(AVERAGEIFS(Mesures!$I:$I,Mesures!$F:$F,$A45,Mesures!$C:$C,L$40),"")</f>
        <v/>
      </c>
      <c r="M45" s="3">
        <f>IFERROR(AVERAGEIFS(Mesures!$I:$I,Mesures!$F:$F,$A45,Mesures!$C:$C,M$40),"")</f>
        <v/>
      </c>
      <c r="N45" s="3">
        <f>IFERROR(AVERAGEIFS(Mesures!$I:$I,Mesures!$F:$F,$A45,Mesures!$C:$C,N$40),"")</f>
        <v/>
      </c>
      <c r="O45" s="3">
        <f>IFERROR(AVERAGEIFS(Mesures!$I:$I,Mesures!$F:$F,$A45,Mesures!$C:$C,O$40),"")</f>
        <v/>
      </c>
      <c r="P45" s="3">
        <f>IFERROR(AVERAGEIFS(Mesures!$I:$I,Mesures!$F:$F,$A45,Mesures!$C:$C,P$40),"")</f>
        <v/>
      </c>
      <c r="Q45" s="3">
        <f>IFERROR(AVERAGEIFS(Mesures!$I:$I,Mesures!$F:$F,$A45,Mesures!$C:$C,Q$40),"")</f>
        <v/>
      </c>
      <c r="R45" s="3">
        <f>IFERROR(AVERAGEIFS(Mesures!$I:$I,Mesures!$F:$F,$A45,Mesures!$C:$C,R$40),"")</f>
        <v/>
      </c>
      <c r="S45" s="3">
        <f>IFERROR(AVERAGEIFS(Mesures!$I:$I,Mesures!$F:$F,$A45,Mesures!$C:$C,S$40),"")</f>
        <v/>
      </c>
      <c r="T45" s="3">
        <f>IFERROR(AVERAGEIFS(Mesures!$I:$I,Mesures!$F:$F,$A45,Mesures!$C:$C,T$40),"")</f>
        <v/>
      </c>
      <c r="U45" s="3">
        <f>IFERROR(AVERAGEIFS(Mesures!$I:$I,Mesures!$F:$F,$A45,Mesures!$C:$C,U$40),"")</f>
        <v/>
      </c>
      <c r="V45" s="3">
        <f>IFERROR(AVERAGEIFS(Mesures!$I:$I,Mesures!$F:$F,$A45,Mesures!$C:$C,V$40),"")</f>
        <v/>
      </c>
      <c r="W45" s="3">
        <f>IFERROR(AVERAGEIFS(Mesures!$I:$I,Mesures!$F:$F,$A45,Mesures!$C:$C,W$40),"")</f>
        <v/>
      </c>
      <c r="X45" s="3">
        <f>IFERROR(AVERAGEIFS(Mesures!$I:$I,Mesures!$F:$F,$A45,Mesures!$C:$C,X$40),"")</f>
        <v/>
      </c>
      <c r="Y45" s="3">
        <f>IFERROR(AVERAGEIFS(Mesures!$I:$I,Mesures!$F:$F,$A45,Mesures!$C:$C,Y$40),"")</f>
        <v/>
      </c>
      <c r="Z45" s="3">
        <f>IFERROR(AVERAGEIFS(Mesures!$I:$I,Mesures!$F:$F,$A45,Mesures!$C:$C,Z$40),"")</f>
        <v/>
      </c>
      <c r="AA45" s="3">
        <f>IFERROR(AVERAGEIFS(Mesures!$I:$I,Mesures!$F:$F,$A45,Mesures!$C:$C,AA$40),"")</f>
        <v/>
      </c>
      <c r="AB45" s="3">
        <f>IFERROR(AVERAGEIFS(Mesures!$I:$I,Mesures!$F:$F,$A45,Mesures!$C:$C,AB$40),"")</f>
        <v/>
      </c>
      <c r="AC45" s="3">
        <f>IFERROR(AVERAGEIFS(Mesures!$I:$I,Mesures!$F:$F,$A45,Mesures!$C:$C,AC$40),"")</f>
        <v/>
      </c>
      <c r="AD45" s="3">
        <f>IFERROR(AVERAGEIFS(Mesures!$I:$I,Mesures!$F:$F,$A45,Mesures!$C:$C,AD$40),"")</f>
        <v/>
      </c>
      <c r="AE45" s="3">
        <f>IFERROR(AVERAGEIFS(Mesures!$I:$I,Mesures!$F:$F,$A45,Mesures!$C:$C,AE$40),"")</f>
        <v/>
      </c>
      <c r="AF45" s="3">
        <f>IFERROR(AVERAGEIFS(Mesures!$I:$I,Mesures!$F:$F,$A45,Mesures!$C:$C,AF$40),"")</f>
        <v/>
      </c>
      <c r="AG45" s="3">
        <f>IFERROR(AVERAGEIFS(Mesures!$I:$I,Mesures!$F:$F,$A45,Mesures!$C:$C,AG$40),"")</f>
        <v/>
      </c>
      <c r="AH45" s="3">
        <f>IFERROR(AVERAGEIFS(Mesures!$I:$I,Mesures!$F:$F,$A45,Mesures!$C:$C,AH$40),"")</f>
        <v/>
      </c>
      <c r="AI45" s="3">
        <f>IFERROR(AVERAGEIFS(Mesures!$I:$I,Mesures!$F:$F,$A45,Mesures!$C:$C,AI$40),"")</f>
        <v/>
      </c>
      <c r="AJ45" s="3">
        <f>IFERROR(AVERAGEIFS(Mesures!$I:$I,Mesures!$F:$F,$A45,Mesures!$C:$C,AJ$40),"")</f>
        <v/>
      </c>
      <c r="AK45" s="3">
        <f>IFERROR(AVERAGEIFS(Mesures!$I:$I,Mesures!$F:$F,$A45,Mesures!$C:$C,AK$40),"")</f>
        <v/>
      </c>
      <c r="AL45" s="3">
        <f>IFERROR(AVERAGEIFS(Mesures!$I:$I,Mesures!$F:$F,$A45,Mesures!$C:$C,AL$40),"")</f>
        <v/>
      </c>
      <c r="AM45" s="3">
        <f>IFERROR(AVERAGEIFS(Mesures!$I:$I,Mesures!$F:$F,$A45,Mesures!$C:$C,AM$40),"")</f>
        <v/>
      </c>
      <c r="AN45" s="3">
        <f>IFERROR(AVERAGEIFS(Mesures!$I:$I,Mesures!$F:$F,$A45,Mesures!$C:$C,AN$40),"")</f>
        <v/>
      </c>
      <c r="AO45" s="3">
        <f>IFERROR(AVERAGEIFS(Mesures!$I:$I,Mesures!$F:$F,$A45,Mesures!$C:$C,AO$40),"")</f>
        <v/>
      </c>
      <c r="AP45" s="3">
        <f>IFERROR(AVERAGEIFS(Mesures!$I:$I,Mesures!$F:$F,$A45,Mesures!$C:$C,AP$40),"")</f>
        <v/>
      </c>
      <c r="AQ45" s="3">
        <f>IFERROR(AVERAGEIFS(Mesures!$I:$I,Mesures!$F:$F,$A45,Mesures!$C:$C,AQ$40),"")</f>
        <v/>
      </c>
      <c r="AR45" s="3">
        <f>IFERROR(AVERAGEIFS(Mesures!$I:$I,Mesures!$F:$F,$A45,Mesures!$C:$C,AR$40),"")</f>
        <v/>
      </c>
      <c r="AS45" s="3">
        <f>IFERROR(AVERAGEIFS(Mesures!$I:$I,Mesures!$F:$F,$A45,Mesures!$C:$C,AS$40),"")</f>
        <v/>
      </c>
      <c r="AT45" s="3">
        <f>IFERROR(AVERAGEIFS(Mesures!$I:$I,Mesures!$F:$F,$A45,Mesures!$C:$C,AT$40),"")</f>
        <v/>
      </c>
      <c r="AU45" s="3">
        <f>IFERROR(AVERAGEIFS(Mesures!$I:$I,Mesures!$F:$F,$A45,Mesures!$C:$C,AU$40),"")</f>
        <v/>
      </c>
      <c r="AV45" s="3">
        <f>IFERROR(AVERAGEIFS(Mesures!$I:$I,Mesures!$F:$F,$A45,Mesures!$C:$C,AV$40),"")</f>
        <v/>
      </c>
      <c r="AW45" s="3">
        <f>IFERROR(AVERAGEIFS(Mesures!$I:$I,Mesures!$F:$F,$A45,Mesures!$C:$C,AW$40),"")</f>
        <v/>
      </c>
      <c r="AX45" s="3">
        <f>IFERROR(AVERAGEIFS(Mesures!$I:$I,Mesures!$F:$F,$A45,Mesures!$C:$C,AX$40),"")</f>
        <v/>
      </c>
      <c r="AY45" s="3">
        <f>IFERROR(AVERAGEIFS(Mesures!$I:$I,Mesures!$F:$F,$A45,Mesures!$C:$C,AY$40),"")</f>
        <v/>
      </c>
      <c r="AZ45" s="3">
        <f>IFERROR(AVERAGEIFS(Mesures!$I:$I,Mesures!$F:$F,$A45,Mesures!$C:$C,AZ$40),"")</f>
        <v/>
      </c>
      <c r="BA45" s="3">
        <f>IFERROR(AVERAGEIFS(Mesures!$I:$I,Mesures!$F:$F,$A45,Mesures!$C:$C,BA$40),"")</f>
        <v/>
      </c>
      <c r="BB45" s="3">
        <f>IFERROR(AVERAGEIFS(Mesures!$I:$I,Mesures!$F:$F,$A45,Mesures!$C:$C,BB$40),"")</f>
        <v/>
      </c>
      <c r="BC45" s="3">
        <f>IFERROR(AVERAGEIFS(Mesures!$I:$I,Mesures!$F:$F,$A45,Mesures!$C:$C,BC$40),"")</f>
        <v/>
      </c>
      <c r="BD45" s="3">
        <f>IFERROR(AVERAGEIFS(Mesures!$I:$I,Mesures!$F:$F,$A45,Mesures!$C:$C,BD$40),"")</f>
        <v/>
      </c>
      <c r="BE45" s="3">
        <f>IFERROR(AVERAGEIFS(Mesures!$I:$I,Mesures!$F:$F,$A45,Mesures!$C:$C,BE$40),"")</f>
        <v/>
      </c>
      <c r="BF45" s="3">
        <f>IFERROR(AVERAGEIFS(Mesures!$I:$I,Mesures!$F:$F,$A45,Mesures!$C:$C,BF$40),"")</f>
        <v/>
      </c>
    </row>
    <row r="46">
      <c r="A46" s="2" t="inlineStr">
        <is>
          <t>gobo + prisme 8 + zoom 25 / sous les trusses</t>
        </is>
      </c>
      <c r="B46" s="3">
        <f>IFERROR(AVERAGEIFS(Mesures!$I:$I,Mesures!$F:$F,$A46,Mesures!$C:$C,B$40),"")</f>
        <v/>
      </c>
      <c r="C46" s="3">
        <f>IFERROR(AVERAGEIFS(Mesures!$I:$I,Mesures!$F:$F,$A46,Mesures!$C:$C,C$40),"")</f>
        <v/>
      </c>
      <c r="D46" s="3">
        <f>IFERROR(AVERAGEIFS(Mesures!$I:$I,Mesures!$F:$F,$A46,Mesures!$C:$C,D$40),"")</f>
        <v/>
      </c>
      <c r="E46" s="3">
        <f>IFERROR(AVERAGEIFS(Mesures!$I:$I,Mesures!$F:$F,$A46,Mesures!$C:$C,E$40),"")</f>
        <v/>
      </c>
      <c r="F46" s="3">
        <f>IFERROR(AVERAGEIFS(Mesures!$I:$I,Mesures!$F:$F,$A46,Mesures!$C:$C,F$40),"")</f>
        <v/>
      </c>
      <c r="G46" s="3">
        <f>IFERROR(AVERAGEIFS(Mesures!$I:$I,Mesures!$F:$F,$A46,Mesures!$C:$C,G$40),"")</f>
        <v/>
      </c>
      <c r="H46" s="3">
        <f>IFERROR(AVERAGEIFS(Mesures!$I:$I,Mesures!$F:$F,$A46,Mesures!$C:$C,H$40),"")</f>
        <v/>
      </c>
      <c r="I46" s="3">
        <f>IFERROR(AVERAGEIFS(Mesures!$I:$I,Mesures!$F:$F,$A46,Mesures!$C:$C,I$40),"")</f>
        <v/>
      </c>
      <c r="J46" s="3">
        <f>IFERROR(AVERAGEIFS(Mesures!$I:$I,Mesures!$F:$F,$A46,Mesures!$C:$C,J$40),"")</f>
        <v/>
      </c>
      <c r="K46" s="3">
        <f>IFERROR(AVERAGEIFS(Mesures!$I:$I,Mesures!$F:$F,$A46,Mesures!$C:$C,K$40),"")</f>
        <v/>
      </c>
      <c r="L46" s="3">
        <f>IFERROR(AVERAGEIFS(Mesures!$I:$I,Mesures!$F:$F,$A46,Mesures!$C:$C,L$40),"")</f>
        <v/>
      </c>
      <c r="M46" s="3">
        <f>IFERROR(AVERAGEIFS(Mesures!$I:$I,Mesures!$F:$F,$A46,Mesures!$C:$C,M$40),"")</f>
        <v/>
      </c>
      <c r="N46" s="3">
        <f>IFERROR(AVERAGEIFS(Mesures!$I:$I,Mesures!$F:$F,$A46,Mesures!$C:$C,N$40),"")</f>
        <v/>
      </c>
      <c r="O46" s="3">
        <f>IFERROR(AVERAGEIFS(Mesures!$I:$I,Mesures!$F:$F,$A46,Mesures!$C:$C,O$40),"")</f>
        <v/>
      </c>
      <c r="P46" s="3">
        <f>IFERROR(AVERAGEIFS(Mesures!$I:$I,Mesures!$F:$F,$A46,Mesures!$C:$C,P$40),"")</f>
        <v/>
      </c>
      <c r="Q46" s="3">
        <f>IFERROR(AVERAGEIFS(Mesures!$I:$I,Mesures!$F:$F,$A46,Mesures!$C:$C,Q$40),"")</f>
        <v/>
      </c>
      <c r="R46" s="3">
        <f>IFERROR(AVERAGEIFS(Mesures!$I:$I,Mesures!$F:$F,$A46,Mesures!$C:$C,R$40),"")</f>
        <v/>
      </c>
      <c r="S46" s="3">
        <f>IFERROR(AVERAGEIFS(Mesures!$I:$I,Mesures!$F:$F,$A46,Mesures!$C:$C,S$40),"")</f>
        <v/>
      </c>
      <c r="T46" s="3">
        <f>IFERROR(AVERAGEIFS(Mesures!$I:$I,Mesures!$F:$F,$A46,Mesures!$C:$C,T$40),"")</f>
        <v/>
      </c>
      <c r="U46" s="3">
        <f>IFERROR(AVERAGEIFS(Mesures!$I:$I,Mesures!$F:$F,$A46,Mesures!$C:$C,U$40),"")</f>
        <v/>
      </c>
      <c r="V46" s="3">
        <f>IFERROR(AVERAGEIFS(Mesures!$I:$I,Mesures!$F:$F,$A46,Mesures!$C:$C,V$40),"")</f>
        <v/>
      </c>
      <c r="W46" s="3">
        <f>IFERROR(AVERAGEIFS(Mesures!$I:$I,Mesures!$F:$F,$A46,Mesures!$C:$C,W$40),"")</f>
        <v/>
      </c>
      <c r="X46" s="3">
        <f>IFERROR(AVERAGEIFS(Mesures!$I:$I,Mesures!$F:$F,$A46,Mesures!$C:$C,X$40),"")</f>
        <v/>
      </c>
      <c r="Y46" s="3">
        <f>IFERROR(AVERAGEIFS(Mesures!$I:$I,Mesures!$F:$F,$A46,Mesures!$C:$C,Y$40),"")</f>
        <v/>
      </c>
      <c r="Z46" s="3">
        <f>IFERROR(AVERAGEIFS(Mesures!$I:$I,Mesures!$F:$F,$A46,Mesures!$C:$C,Z$40),"")</f>
        <v/>
      </c>
      <c r="AA46" s="3">
        <f>IFERROR(AVERAGEIFS(Mesures!$I:$I,Mesures!$F:$F,$A46,Mesures!$C:$C,AA$40),"")</f>
        <v/>
      </c>
      <c r="AB46" s="3">
        <f>IFERROR(AVERAGEIFS(Mesures!$I:$I,Mesures!$F:$F,$A46,Mesures!$C:$C,AB$40),"")</f>
        <v/>
      </c>
      <c r="AC46" s="3">
        <f>IFERROR(AVERAGEIFS(Mesures!$I:$I,Mesures!$F:$F,$A46,Mesures!$C:$C,AC$40),"")</f>
        <v/>
      </c>
      <c r="AD46" s="3">
        <f>IFERROR(AVERAGEIFS(Mesures!$I:$I,Mesures!$F:$F,$A46,Mesures!$C:$C,AD$40),"")</f>
        <v/>
      </c>
      <c r="AE46" s="3">
        <f>IFERROR(AVERAGEIFS(Mesures!$I:$I,Mesures!$F:$F,$A46,Mesures!$C:$C,AE$40),"")</f>
        <v/>
      </c>
      <c r="AF46" s="3">
        <f>IFERROR(AVERAGEIFS(Mesures!$I:$I,Mesures!$F:$F,$A46,Mesures!$C:$C,AF$40),"")</f>
        <v/>
      </c>
      <c r="AG46" s="3">
        <f>IFERROR(AVERAGEIFS(Mesures!$I:$I,Mesures!$F:$F,$A46,Mesures!$C:$C,AG$40),"")</f>
        <v/>
      </c>
      <c r="AH46" s="3">
        <f>IFERROR(AVERAGEIFS(Mesures!$I:$I,Mesures!$F:$F,$A46,Mesures!$C:$C,AH$40),"")</f>
        <v/>
      </c>
      <c r="AI46" s="3">
        <f>IFERROR(AVERAGEIFS(Mesures!$I:$I,Mesures!$F:$F,$A46,Mesures!$C:$C,AI$40),"")</f>
        <v/>
      </c>
      <c r="AJ46" s="3">
        <f>IFERROR(AVERAGEIFS(Mesures!$I:$I,Mesures!$F:$F,$A46,Mesures!$C:$C,AJ$40),"")</f>
        <v/>
      </c>
      <c r="AK46" s="3">
        <f>IFERROR(AVERAGEIFS(Mesures!$I:$I,Mesures!$F:$F,$A46,Mesures!$C:$C,AK$40),"")</f>
        <v/>
      </c>
      <c r="AL46" s="3">
        <f>IFERROR(AVERAGEIFS(Mesures!$I:$I,Mesures!$F:$F,$A46,Mesures!$C:$C,AL$40),"")</f>
        <v/>
      </c>
      <c r="AM46" s="3">
        <f>IFERROR(AVERAGEIFS(Mesures!$I:$I,Mesures!$F:$F,$A46,Mesures!$C:$C,AM$40),"")</f>
        <v/>
      </c>
      <c r="AN46" s="3">
        <f>IFERROR(AVERAGEIFS(Mesures!$I:$I,Mesures!$F:$F,$A46,Mesures!$C:$C,AN$40),"")</f>
        <v/>
      </c>
      <c r="AO46" s="3">
        <f>IFERROR(AVERAGEIFS(Mesures!$I:$I,Mesures!$F:$F,$A46,Mesures!$C:$C,AO$40),"")</f>
        <v/>
      </c>
      <c r="AP46" s="3">
        <f>IFERROR(AVERAGEIFS(Mesures!$I:$I,Mesures!$F:$F,$A46,Mesures!$C:$C,AP$40),"")</f>
        <v/>
      </c>
      <c r="AQ46" s="3">
        <f>IFERROR(AVERAGEIFS(Mesures!$I:$I,Mesures!$F:$F,$A46,Mesures!$C:$C,AQ$40),"")</f>
        <v/>
      </c>
      <c r="AR46" s="3">
        <f>IFERROR(AVERAGEIFS(Mesures!$I:$I,Mesures!$F:$F,$A46,Mesures!$C:$C,AR$40),"")</f>
        <v/>
      </c>
      <c r="AS46" s="3">
        <f>IFERROR(AVERAGEIFS(Mesures!$I:$I,Mesures!$F:$F,$A46,Mesures!$C:$C,AS$40),"")</f>
        <v/>
      </c>
      <c r="AT46" s="3">
        <f>IFERROR(AVERAGEIFS(Mesures!$I:$I,Mesures!$F:$F,$A46,Mesures!$C:$C,AT$40),"")</f>
        <v/>
      </c>
      <c r="AU46" s="3">
        <f>IFERROR(AVERAGEIFS(Mesures!$I:$I,Mesures!$F:$F,$A46,Mesures!$C:$C,AU$40),"")</f>
        <v/>
      </c>
      <c r="AV46" s="3">
        <f>IFERROR(AVERAGEIFS(Mesures!$I:$I,Mesures!$F:$F,$A46,Mesures!$C:$C,AV$40),"")</f>
        <v/>
      </c>
      <c r="AW46" s="3">
        <f>IFERROR(AVERAGEIFS(Mesures!$I:$I,Mesures!$F:$F,$A46,Mesures!$C:$C,AW$40),"")</f>
        <v/>
      </c>
      <c r="AX46" s="3">
        <f>IFERROR(AVERAGEIFS(Mesures!$I:$I,Mesures!$F:$F,$A46,Mesures!$C:$C,AX$40),"")</f>
        <v/>
      </c>
      <c r="AY46" s="3">
        <f>IFERROR(AVERAGEIFS(Mesures!$I:$I,Mesures!$F:$F,$A46,Mesures!$C:$C,AY$40),"")</f>
        <v/>
      </c>
      <c r="AZ46" s="3">
        <f>IFERROR(AVERAGEIFS(Mesures!$I:$I,Mesures!$F:$F,$A46,Mesures!$C:$C,AZ$40),"")</f>
        <v/>
      </c>
      <c r="BA46" s="3">
        <f>IFERROR(AVERAGEIFS(Mesures!$I:$I,Mesures!$F:$F,$A46,Mesures!$C:$C,BA$40),"")</f>
        <v/>
      </c>
      <c r="BB46" s="3">
        <f>IFERROR(AVERAGEIFS(Mesures!$I:$I,Mesures!$F:$F,$A46,Mesures!$C:$C,BB$40),"")</f>
        <v/>
      </c>
      <c r="BC46" s="3">
        <f>IFERROR(AVERAGEIFS(Mesures!$I:$I,Mesures!$F:$F,$A46,Mesures!$C:$C,BC$40),"")</f>
        <v/>
      </c>
      <c r="BD46" s="3">
        <f>IFERROR(AVERAGEIFS(Mesures!$I:$I,Mesures!$F:$F,$A46,Mesures!$C:$C,BD$40),"")</f>
        <v/>
      </c>
      <c r="BE46" s="3">
        <f>IFERROR(AVERAGEIFS(Mesures!$I:$I,Mesures!$F:$F,$A46,Mesures!$C:$C,BE$40),"")</f>
        <v/>
      </c>
      <c r="BF46" s="3">
        <f>IFERROR(AVERAGEIFS(Mesures!$I:$I,Mesures!$F:$F,$A46,Mesures!$C:$C,BF$40),"")</f>
        <v/>
      </c>
    </row>
    <row r="47">
      <c r="A47" s="2" t="inlineStr">
        <is>
          <t>zoom 45 + frost 0.6 / public</t>
        </is>
      </c>
      <c r="B47" s="3">
        <f>IFERROR(AVERAGEIFS(Mesures!$I:$I,Mesures!$F:$F,$A47,Mesures!$C:$C,B$40),"")</f>
        <v/>
      </c>
      <c r="C47" s="3">
        <f>IFERROR(AVERAGEIFS(Mesures!$I:$I,Mesures!$F:$F,$A47,Mesures!$C:$C,C$40),"")</f>
        <v/>
      </c>
      <c r="D47" s="3">
        <f>IFERROR(AVERAGEIFS(Mesures!$I:$I,Mesures!$F:$F,$A47,Mesures!$C:$C,D$40),"")</f>
        <v/>
      </c>
      <c r="E47" s="3">
        <f>IFERROR(AVERAGEIFS(Mesures!$I:$I,Mesures!$F:$F,$A47,Mesures!$C:$C,E$40),"")</f>
        <v/>
      </c>
      <c r="F47" s="3">
        <f>IFERROR(AVERAGEIFS(Mesures!$I:$I,Mesures!$F:$F,$A47,Mesures!$C:$C,F$40),"")</f>
        <v/>
      </c>
      <c r="G47" s="3">
        <f>IFERROR(AVERAGEIFS(Mesures!$I:$I,Mesures!$F:$F,$A47,Mesures!$C:$C,G$40),"")</f>
        <v/>
      </c>
      <c r="H47" s="3">
        <f>IFERROR(AVERAGEIFS(Mesures!$I:$I,Mesures!$F:$F,$A47,Mesures!$C:$C,H$40),"")</f>
        <v/>
      </c>
      <c r="I47" s="3">
        <f>IFERROR(AVERAGEIFS(Mesures!$I:$I,Mesures!$F:$F,$A47,Mesures!$C:$C,I$40),"")</f>
        <v/>
      </c>
      <c r="J47" s="3">
        <f>IFERROR(AVERAGEIFS(Mesures!$I:$I,Mesures!$F:$F,$A47,Mesures!$C:$C,J$40),"")</f>
        <v/>
      </c>
      <c r="K47" s="3">
        <f>IFERROR(AVERAGEIFS(Mesures!$I:$I,Mesures!$F:$F,$A47,Mesures!$C:$C,K$40),"")</f>
        <v/>
      </c>
      <c r="L47" s="3">
        <f>IFERROR(AVERAGEIFS(Mesures!$I:$I,Mesures!$F:$F,$A47,Mesures!$C:$C,L$40),"")</f>
        <v/>
      </c>
      <c r="M47" s="3">
        <f>IFERROR(AVERAGEIFS(Mesures!$I:$I,Mesures!$F:$F,$A47,Mesures!$C:$C,M$40),"")</f>
        <v/>
      </c>
      <c r="N47" s="3">
        <f>IFERROR(AVERAGEIFS(Mesures!$I:$I,Mesures!$F:$F,$A47,Mesures!$C:$C,N$40),"")</f>
        <v/>
      </c>
      <c r="O47" s="3">
        <f>IFERROR(AVERAGEIFS(Mesures!$I:$I,Mesures!$F:$F,$A47,Mesures!$C:$C,O$40),"")</f>
        <v/>
      </c>
      <c r="P47" s="3">
        <f>IFERROR(AVERAGEIFS(Mesures!$I:$I,Mesures!$F:$F,$A47,Mesures!$C:$C,P$40),"")</f>
        <v/>
      </c>
      <c r="Q47" s="3">
        <f>IFERROR(AVERAGEIFS(Mesures!$I:$I,Mesures!$F:$F,$A47,Mesures!$C:$C,Q$40),"")</f>
        <v/>
      </c>
      <c r="R47" s="3">
        <f>IFERROR(AVERAGEIFS(Mesures!$I:$I,Mesures!$F:$F,$A47,Mesures!$C:$C,R$40),"")</f>
        <v/>
      </c>
      <c r="S47" s="3">
        <f>IFERROR(AVERAGEIFS(Mesures!$I:$I,Mesures!$F:$F,$A47,Mesures!$C:$C,S$40),"")</f>
        <v/>
      </c>
      <c r="T47" s="3">
        <f>IFERROR(AVERAGEIFS(Mesures!$I:$I,Mesures!$F:$F,$A47,Mesures!$C:$C,T$40),"")</f>
        <v/>
      </c>
      <c r="U47" s="3">
        <f>IFERROR(AVERAGEIFS(Mesures!$I:$I,Mesures!$F:$F,$A47,Mesures!$C:$C,U$40),"")</f>
        <v/>
      </c>
      <c r="V47" s="3">
        <f>IFERROR(AVERAGEIFS(Mesures!$I:$I,Mesures!$F:$F,$A47,Mesures!$C:$C,V$40),"")</f>
        <v/>
      </c>
      <c r="W47" s="3">
        <f>IFERROR(AVERAGEIFS(Mesures!$I:$I,Mesures!$F:$F,$A47,Mesures!$C:$C,W$40),"")</f>
        <v/>
      </c>
      <c r="X47" s="3">
        <f>IFERROR(AVERAGEIFS(Mesures!$I:$I,Mesures!$F:$F,$A47,Mesures!$C:$C,X$40),"")</f>
        <v/>
      </c>
      <c r="Y47" s="3">
        <f>IFERROR(AVERAGEIFS(Mesures!$I:$I,Mesures!$F:$F,$A47,Mesures!$C:$C,Y$40),"")</f>
        <v/>
      </c>
      <c r="Z47" s="3">
        <f>IFERROR(AVERAGEIFS(Mesures!$I:$I,Mesures!$F:$F,$A47,Mesures!$C:$C,Z$40),"")</f>
        <v/>
      </c>
      <c r="AA47" s="3">
        <f>IFERROR(AVERAGEIFS(Mesures!$I:$I,Mesures!$F:$F,$A47,Mesures!$C:$C,AA$40),"")</f>
        <v/>
      </c>
      <c r="AB47" s="3">
        <f>IFERROR(AVERAGEIFS(Mesures!$I:$I,Mesures!$F:$F,$A47,Mesures!$C:$C,AB$40),"")</f>
        <v/>
      </c>
      <c r="AC47" s="3">
        <f>IFERROR(AVERAGEIFS(Mesures!$I:$I,Mesures!$F:$F,$A47,Mesures!$C:$C,AC$40),"")</f>
        <v/>
      </c>
      <c r="AD47" s="3">
        <f>IFERROR(AVERAGEIFS(Mesures!$I:$I,Mesures!$F:$F,$A47,Mesures!$C:$C,AD$40),"")</f>
        <v/>
      </c>
      <c r="AE47" s="3">
        <f>IFERROR(AVERAGEIFS(Mesures!$I:$I,Mesures!$F:$F,$A47,Mesures!$C:$C,AE$40),"")</f>
        <v/>
      </c>
      <c r="AF47" s="3">
        <f>IFERROR(AVERAGEIFS(Mesures!$I:$I,Mesures!$F:$F,$A47,Mesures!$C:$C,AF$40),"")</f>
        <v/>
      </c>
      <c r="AG47" s="3">
        <f>IFERROR(AVERAGEIFS(Mesures!$I:$I,Mesures!$F:$F,$A47,Mesures!$C:$C,AG$40),"")</f>
        <v/>
      </c>
      <c r="AH47" s="3">
        <f>IFERROR(AVERAGEIFS(Mesures!$I:$I,Mesures!$F:$F,$A47,Mesures!$C:$C,AH$40),"")</f>
        <v/>
      </c>
      <c r="AI47" s="3">
        <f>IFERROR(AVERAGEIFS(Mesures!$I:$I,Mesures!$F:$F,$A47,Mesures!$C:$C,AI$40),"")</f>
        <v/>
      </c>
      <c r="AJ47" s="3">
        <f>IFERROR(AVERAGEIFS(Mesures!$I:$I,Mesures!$F:$F,$A47,Mesures!$C:$C,AJ$40),"")</f>
        <v/>
      </c>
      <c r="AK47" s="3">
        <f>IFERROR(AVERAGEIFS(Mesures!$I:$I,Mesures!$F:$F,$A47,Mesures!$C:$C,AK$40),"")</f>
        <v/>
      </c>
      <c r="AL47" s="3">
        <f>IFERROR(AVERAGEIFS(Mesures!$I:$I,Mesures!$F:$F,$A47,Mesures!$C:$C,AL$40),"")</f>
        <v/>
      </c>
      <c r="AM47" s="3">
        <f>IFERROR(AVERAGEIFS(Mesures!$I:$I,Mesures!$F:$F,$A47,Mesures!$C:$C,AM$40),"")</f>
        <v/>
      </c>
      <c r="AN47" s="3">
        <f>IFERROR(AVERAGEIFS(Mesures!$I:$I,Mesures!$F:$F,$A47,Mesures!$C:$C,AN$40),"")</f>
        <v/>
      </c>
      <c r="AO47" s="3">
        <f>IFERROR(AVERAGEIFS(Mesures!$I:$I,Mesures!$F:$F,$A47,Mesures!$C:$C,AO$40),"")</f>
        <v/>
      </c>
      <c r="AP47" s="3">
        <f>IFERROR(AVERAGEIFS(Mesures!$I:$I,Mesures!$F:$F,$A47,Mesures!$C:$C,AP$40),"")</f>
        <v/>
      </c>
      <c r="AQ47" s="3">
        <f>IFERROR(AVERAGEIFS(Mesures!$I:$I,Mesures!$F:$F,$A47,Mesures!$C:$C,AQ$40),"")</f>
        <v/>
      </c>
      <c r="AR47" s="3">
        <f>IFERROR(AVERAGEIFS(Mesures!$I:$I,Mesures!$F:$F,$A47,Mesures!$C:$C,AR$40),"")</f>
        <v/>
      </c>
      <c r="AS47" s="3">
        <f>IFERROR(AVERAGEIFS(Mesures!$I:$I,Mesures!$F:$F,$A47,Mesures!$C:$C,AS$40),"")</f>
        <v/>
      </c>
      <c r="AT47" s="3">
        <f>IFERROR(AVERAGEIFS(Mesures!$I:$I,Mesures!$F:$F,$A47,Mesures!$C:$C,AT$40),"")</f>
        <v/>
      </c>
      <c r="AU47" s="3">
        <f>IFERROR(AVERAGEIFS(Mesures!$I:$I,Mesures!$F:$F,$A47,Mesures!$C:$C,AU$40),"")</f>
        <v/>
      </c>
      <c r="AV47" s="3">
        <f>IFERROR(AVERAGEIFS(Mesures!$I:$I,Mesures!$F:$F,$A47,Mesures!$C:$C,AV$40),"")</f>
        <v/>
      </c>
      <c r="AW47" s="3">
        <f>IFERROR(AVERAGEIFS(Mesures!$I:$I,Mesures!$F:$F,$A47,Mesures!$C:$C,AW$40),"")</f>
        <v/>
      </c>
      <c r="AX47" s="3">
        <f>IFERROR(AVERAGEIFS(Mesures!$I:$I,Mesures!$F:$F,$A47,Mesures!$C:$C,AX$40),"")</f>
        <v/>
      </c>
      <c r="AY47" s="3">
        <f>IFERROR(AVERAGEIFS(Mesures!$I:$I,Mesures!$F:$F,$A47,Mesures!$C:$C,AY$40),"")</f>
        <v/>
      </c>
      <c r="AZ47" s="3">
        <f>IFERROR(AVERAGEIFS(Mesures!$I:$I,Mesures!$F:$F,$A47,Mesures!$C:$C,AZ$40),"")</f>
        <v/>
      </c>
      <c r="BA47" s="3">
        <f>IFERROR(AVERAGEIFS(Mesures!$I:$I,Mesures!$F:$F,$A47,Mesures!$C:$C,BA$40),"")</f>
        <v/>
      </c>
      <c r="BB47" s="3">
        <f>IFERROR(AVERAGEIFS(Mesures!$I:$I,Mesures!$F:$F,$A47,Mesures!$C:$C,BB$40),"")</f>
        <v/>
      </c>
      <c r="BC47" s="3">
        <f>IFERROR(AVERAGEIFS(Mesures!$I:$I,Mesures!$F:$F,$A47,Mesures!$C:$C,BC$40),"")</f>
        <v/>
      </c>
      <c r="BD47" s="3">
        <f>IFERROR(AVERAGEIFS(Mesures!$I:$I,Mesures!$F:$F,$A47,Mesures!$C:$C,BD$40),"")</f>
        <v/>
      </c>
      <c r="BE47" s="3">
        <f>IFERROR(AVERAGEIFS(Mesures!$I:$I,Mesures!$F:$F,$A47,Mesures!$C:$C,BE$40),"")</f>
        <v/>
      </c>
      <c r="BF47" s="3">
        <f>IFERROR(AVERAGEIFS(Mesures!$I:$I,Mesures!$F:$F,$A47,Mesures!$C:$C,BF$40),"")</f>
        <v/>
      </c>
    </row>
    <row r="48">
      <c r="A48" s="2" t="inlineStr">
        <is>
          <t>zoom 45 + frost 0.6 / scene</t>
        </is>
      </c>
      <c r="B48" s="3">
        <f>IFERROR(AVERAGEIFS(Mesures!$I:$I,Mesures!$F:$F,$A48,Mesures!$C:$C,B$40),"")</f>
        <v/>
      </c>
      <c r="C48" s="3">
        <f>IFERROR(AVERAGEIFS(Mesures!$I:$I,Mesures!$F:$F,$A48,Mesures!$C:$C,C$40),"")</f>
        <v/>
      </c>
      <c r="D48" s="3">
        <f>IFERROR(AVERAGEIFS(Mesures!$I:$I,Mesures!$F:$F,$A48,Mesures!$C:$C,D$40),"")</f>
        <v/>
      </c>
      <c r="E48" s="3">
        <f>IFERROR(AVERAGEIFS(Mesures!$I:$I,Mesures!$F:$F,$A48,Mesures!$C:$C,E$40),"")</f>
        <v/>
      </c>
      <c r="F48" s="3">
        <f>IFERROR(AVERAGEIFS(Mesures!$I:$I,Mesures!$F:$F,$A48,Mesures!$C:$C,F$40),"")</f>
        <v/>
      </c>
      <c r="G48" s="3">
        <f>IFERROR(AVERAGEIFS(Mesures!$I:$I,Mesures!$F:$F,$A48,Mesures!$C:$C,G$40),"")</f>
        <v/>
      </c>
      <c r="H48" s="3">
        <f>IFERROR(AVERAGEIFS(Mesures!$I:$I,Mesures!$F:$F,$A48,Mesures!$C:$C,H$40),"")</f>
        <v/>
      </c>
      <c r="I48" s="3">
        <f>IFERROR(AVERAGEIFS(Mesures!$I:$I,Mesures!$F:$F,$A48,Mesures!$C:$C,I$40),"")</f>
        <v/>
      </c>
      <c r="J48" s="3">
        <f>IFERROR(AVERAGEIFS(Mesures!$I:$I,Mesures!$F:$F,$A48,Mesures!$C:$C,J$40),"")</f>
        <v/>
      </c>
      <c r="K48" s="3">
        <f>IFERROR(AVERAGEIFS(Mesures!$I:$I,Mesures!$F:$F,$A48,Mesures!$C:$C,K$40),"")</f>
        <v/>
      </c>
      <c r="L48" s="3">
        <f>IFERROR(AVERAGEIFS(Mesures!$I:$I,Mesures!$F:$F,$A48,Mesures!$C:$C,L$40),"")</f>
        <v/>
      </c>
      <c r="M48" s="3">
        <f>IFERROR(AVERAGEIFS(Mesures!$I:$I,Mesures!$F:$F,$A48,Mesures!$C:$C,M$40),"")</f>
        <v/>
      </c>
      <c r="N48" s="3">
        <f>IFERROR(AVERAGEIFS(Mesures!$I:$I,Mesures!$F:$F,$A48,Mesures!$C:$C,N$40),"")</f>
        <v/>
      </c>
      <c r="O48" s="3">
        <f>IFERROR(AVERAGEIFS(Mesures!$I:$I,Mesures!$F:$F,$A48,Mesures!$C:$C,O$40),"")</f>
        <v/>
      </c>
      <c r="P48" s="3">
        <f>IFERROR(AVERAGEIFS(Mesures!$I:$I,Mesures!$F:$F,$A48,Mesures!$C:$C,P$40),"")</f>
        <v/>
      </c>
      <c r="Q48" s="3">
        <f>IFERROR(AVERAGEIFS(Mesures!$I:$I,Mesures!$F:$F,$A48,Mesures!$C:$C,Q$40),"")</f>
        <v/>
      </c>
      <c r="R48" s="3">
        <f>IFERROR(AVERAGEIFS(Mesures!$I:$I,Mesures!$F:$F,$A48,Mesures!$C:$C,R$40),"")</f>
        <v/>
      </c>
      <c r="S48" s="3">
        <f>IFERROR(AVERAGEIFS(Mesures!$I:$I,Mesures!$F:$F,$A48,Mesures!$C:$C,S$40),"")</f>
        <v/>
      </c>
      <c r="T48" s="3">
        <f>IFERROR(AVERAGEIFS(Mesures!$I:$I,Mesures!$F:$F,$A48,Mesures!$C:$C,T$40),"")</f>
        <v/>
      </c>
      <c r="U48" s="3">
        <f>IFERROR(AVERAGEIFS(Mesures!$I:$I,Mesures!$F:$F,$A48,Mesures!$C:$C,U$40),"")</f>
        <v/>
      </c>
      <c r="V48" s="3">
        <f>IFERROR(AVERAGEIFS(Mesures!$I:$I,Mesures!$F:$F,$A48,Mesures!$C:$C,V$40),"")</f>
        <v/>
      </c>
      <c r="W48" s="3">
        <f>IFERROR(AVERAGEIFS(Mesures!$I:$I,Mesures!$F:$F,$A48,Mesures!$C:$C,W$40),"")</f>
        <v/>
      </c>
      <c r="X48" s="3">
        <f>IFERROR(AVERAGEIFS(Mesures!$I:$I,Mesures!$F:$F,$A48,Mesures!$C:$C,X$40),"")</f>
        <v/>
      </c>
      <c r="Y48" s="3">
        <f>IFERROR(AVERAGEIFS(Mesures!$I:$I,Mesures!$F:$F,$A48,Mesures!$C:$C,Y$40),"")</f>
        <v/>
      </c>
      <c r="Z48" s="3">
        <f>IFERROR(AVERAGEIFS(Mesures!$I:$I,Mesures!$F:$F,$A48,Mesures!$C:$C,Z$40),"")</f>
        <v/>
      </c>
      <c r="AA48" s="3">
        <f>IFERROR(AVERAGEIFS(Mesures!$I:$I,Mesures!$F:$F,$A48,Mesures!$C:$C,AA$40),"")</f>
        <v/>
      </c>
      <c r="AB48" s="3">
        <f>IFERROR(AVERAGEIFS(Mesures!$I:$I,Mesures!$F:$F,$A48,Mesures!$C:$C,AB$40),"")</f>
        <v/>
      </c>
      <c r="AC48" s="3">
        <f>IFERROR(AVERAGEIFS(Mesures!$I:$I,Mesures!$F:$F,$A48,Mesures!$C:$C,AC$40),"")</f>
        <v/>
      </c>
      <c r="AD48" s="3">
        <f>IFERROR(AVERAGEIFS(Mesures!$I:$I,Mesures!$F:$F,$A48,Mesures!$C:$C,AD$40),"")</f>
        <v/>
      </c>
      <c r="AE48" s="3">
        <f>IFERROR(AVERAGEIFS(Mesures!$I:$I,Mesures!$F:$F,$A48,Mesures!$C:$C,AE$40),"")</f>
        <v/>
      </c>
      <c r="AF48" s="3">
        <f>IFERROR(AVERAGEIFS(Mesures!$I:$I,Mesures!$F:$F,$A48,Mesures!$C:$C,AF$40),"")</f>
        <v/>
      </c>
      <c r="AG48" s="3">
        <f>IFERROR(AVERAGEIFS(Mesures!$I:$I,Mesures!$F:$F,$A48,Mesures!$C:$C,AG$40),"")</f>
        <v/>
      </c>
      <c r="AH48" s="3">
        <f>IFERROR(AVERAGEIFS(Mesures!$I:$I,Mesures!$F:$F,$A48,Mesures!$C:$C,AH$40),"")</f>
        <v/>
      </c>
      <c r="AI48" s="3">
        <f>IFERROR(AVERAGEIFS(Mesures!$I:$I,Mesures!$F:$F,$A48,Mesures!$C:$C,AI$40),"")</f>
        <v/>
      </c>
      <c r="AJ48" s="3">
        <f>IFERROR(AVERAGEIFS(Mesures!$I:$I,Mesures!$F:$F,$A48,Mesures!$C:$C,AJ$40),"")</f>
        <v/>
      </c>
      <c r="AK48" s="3">
        <f>IFERROR(AVERAGEIFS(Mesures!$I:$I,Mesures!$F:$F,$A48,Mesures!$C:$C,AK$40),"")</f>
        <v/>
      </c>
      <c r="AL48" s="3">
        <f>IFERROR(AVERAGEIFS(Mesures!$I:$I,Mesures!$F:$F,$A48,Mesures!$C:$C,AL$40),"")</f>
        <v/>
      </c>
      <c r="AM48" s="3">
        <f>IFERROR(AVERAGEIFS(Mesures!$I:$I,Mesures!$F:$F,$A48,Mesures!$C:$C,AM$40),"")</f>
        <v/>
      </c>
      <c r="AN48" s="3">
        <f>IFERROR(AVERAGEIFS(Mesures!$I:$I,Mesures!$F:$F,$A48,Mesures!$C:$C,AN$40),"")</f>
        <v/>
      </c>
      <c r="AO48" s="3">
        <f>IFERROR(AVERAGEIFS(Mesures!$I:$I,Mesures!$F:$F,$A48,Mesures!$C:$C,AO$40),"")</f>
        <v/>
      </c>
      <c r="AP48" s="3">
        <f>IFERROR(AVERAGEIFS(Mesures!$I:$I,Mesures!$F:$F,$A48,Mesures!$C:$C,AP$40),"")</f>
        <v/>
      </c>
      <c r="AQ48" s="3">
        <f>IFERROR(AVERAGEIFS(Mesures!$I:$I,Mesures!$F:$F,$A48,Mesures!$C:$C,AQ$40),"")</f>
        <v/>
      </c>
      <c r="AR48" s="3">
        <f>IFERROR(AVERAGEIFS(Mesures!$I:$I,Mesures!$F:$F,$A48,Mesures!$C:$C,AR$40),"")</f>
        <v/>
      </c>
      <c r="AS48" s="3">
        <f>IFERROR(AVERAGEIFS(Mesures!$I:$I,Mesures!$F:$F,$A48,Mesures!$C:$C,AS$40),"")</f>
        <v/>
      </c>
      <c r="AT48" s="3">
        <f>IFERROR(AVERAGEIFS(Mesures!$I:$I,Mesures!$F:$F,$A48,Mesures!$C:$C,AT$40),"")</f>
        <v/>
      </c>
      <c r="AU48" s="3">
        <f>IFERROR(AVERAGEIFS(Mesures!$I:$I,Mesures!$F:$F,$A48,Mesures!$C:$C,AU$40),"")</f>
        <v/>
      </c>
      <c r="AV48" s="3">
        <f>IFERROR(AVERAGEIFS(Mesures!$I:$I,Mesures!$F:$F,$A48,Mesures!$C:$C,AV$40),"")</f>
        <v/>
      </c>
      <c r="AW48" s="3">
        <f>IFERROR(AVERAGEIFS(Mesures!$I:$I,Mesures!$F:$F,$A48,Mesures!$C:$C,AW$40),"")</f>
        <v/>
      </c>
      <c r="AX48" s="3">
        <f>IFERROR(AVERAGEIFS(Mesures!$I:$I,Mesures!$F:$F,$A48,Mesures!$C:$C,AX$40),"")</f>
        <v/>
      </c>
      <c r="AY48" s="3">
        <f>IFERROR(AVERAGEIFS(Mesures!$I:$I,Mesures!$F:$F,$A48,Mesures!$C:$C,AY$40),"")</f>
        <v/>
      </c>
      <c r="AZ48" s="3">
        <f>IFERROR(AVERAGEIFS(Mesures!$I:$I,Mesures!$F:$F,$A48,Mesures!$C:$C,AZ$40),"")</f>
        <v/>
      </c>
      <c r="BA48" s="3">
        <f>IFERROR(AVERAGEIFS(Mesures!$I:$I,Mesures!$F:$F,$A48,Mesures!$C:$C,BA$40),"")</f>
        <v/>
      </c>
      <c r="BB48" s="3">
        <f>IFERROR(AVERAGEIFS(Mesures!$I:$I,Mesures!$F:$F,$A48,Mesures!$C:$C,BB$40),"")</f>
        <v/>
      </c>
      <c r="BC48" s="3">
        <f>IFERROR(AVERAGEIFS(Mesures!$I:$I,Mesures!$F:$F,$A48,Mesures!$C:$C,BC$40),"")</f>
        <v/>
      </c>
      <c r="BD48" s="3">
        <f>IFERROR(AVERAGEIFS(Mesures!$I:$I,Mesures!$F:$F,$A48,Mesures!$C:$C,BD$40),"")</f>
        <v/>
      </c>
      <c r="BE48" s="3">
        <f>IFERROR(AVERAGEIFS(Mesures!$I:$I,Mesures!$F:$F,$A48,Mesures!$C:$C,BE$40),"")</f>
        <v/>
      </c>
      <c r="BF48" s="3">
        <f>IFERROR(AVERAGEIFS(Mesures!$I:$I,Mesures!$F:$F,$A48,Mesures!$C:$C,BF$40),"")</f>
        <v/>
      </c>
    </row>
    <row r="49">
      <c r="A49" s="2" t="inlineStr">
        <is>
          <t>zoom 45 + frost 0.6 / sous les trusses</t>
        </is>
      </c>
      <c r="B49" s="3">
        <f>IFERROR(AVERAGEIFS(Mesures!$I:$I,Mesures!$F:$F,$A49,Mesures!$C:$C,B$40),"")</f>
        <v/>
      </c>
      <c r="C49" s="3">
        <f>IFERROR(AVERAGEIFS(Mesures!$I:$I,Mesures!$F:$F,$A49,Mesures!$C:$C,C$40),"")</f>
        <v/>
      </c>
      <c r="D49" s="3">
        <f>IFERROR(AVERAGEIFS(Mesures!$I:$I,Mesures!$F:$F,$A49,Mesures!$C:$C,D$40),"")</f>
        <v/>
      </c>
      <c r="E49" s="3">
        <f>IFERROR(AVERAGEIFS(Mesures!$I:$I,Mesures!$F:$F,$A49,Mesures!$C:$C,E$40),"")</f>
        <v/>
      </c>
      <c r="F49" s="3">
        <f>IFERROR(AVERAGEIFS(Mesures!$I:$I,Mesures!$F:$F,$A49,Mesures!$C:$C,F$40),"")</f>
        <v/>
      </c>
      <c r="G49" s="3">
        <f>IFERROR(AVERAGEIFS(Mesures!$I:$I,Mesures!$F:$F,$A49,Mesures!$C:$C,G$40),"")</f>
        <v/>
      </c>
      <c r="H49" s="3">
        <f>IFERROR(AVERAGEIFS(Mesures!$I:$I,Mesures!$F:$F,$A49,Mesures!$C:$C,H$40),"")</f>
        <v/>
      </c>
      <c r="I49" s="3">
        <f>IFERROR(AVERAGEIFS(Mesures!$I:$I,Mesures!$F:$F,$A49,Mesures!$C:$C,I$40),"")</f>
        <v/>
      </c>
      <c r="J49" s="3">
        <f>IFERROR(AVERAGEIFS(Mesures!$I:$I,Mesures!$F:$F,$A49,Mesures!$C:$C,J$40),"")</f>
        <v/>
      </c>
      <c r="K49" s="3">
        <f>IFERROR(AVERAGEIFS(Mesures!$I:$I,Mesures!$F:$F,$A49,Mesures!$C:$C,K$40),"")</f>
        <v/>
      </c>
      <c r="L49" s="3">
        <f>IFERROR(AVERAGEIFS(Mesures!$I:$I,Mesures!$F:$F,$A49,Mesures!$C:$C,L$40),"")</f>
        <v/>
      </c>
      <c r="M49" s="3">
        <f>IFERROR(AVERAGEIFS(Mesures!$I:$I,Mesures!$F:$F,$A49,Mesures!$C:$C,M$40),"")</f>
        <v/>
      </c>
      <c r="N49" s="3">
        <f>IFERROR(AVERAGEIFS(Mesures!$I:$I,Mesures!$F:$F,$A49,Mesures!$C:$C,N$40),"")</f>
        <v/>
      </c>
      <c r="O49" s="3">
        <f>IFERROR(AVERAGEIFS(Mesures!$I:$I,Mesures!$F:$F,$A49,Mesures!$C:$C,O$40),"")</f>
        <v/>
      </c>
      <c r="P49" s="3">
        <f>IFERROR(AVERAGEIFS(Mesures!$I:$I,Mesures!$F:$F,$A49,Mesures!$C:$C,P$40),"")</f>
        <v/>
      </c>
      <c r="Q49" s="3">
        <f>IFERROR(AVERAGEIFS(Mesures!$I:$I,Mesures!$F:$F,$A49,Mesures!$C:$C,Q$40),"")</f>
        <v/>
      </c>
      <c r="R49" s="3">
        <f>IFERROR(AVERAGEIFS(Mesures!$I:$I,Mesures!$F:$F,$A49,Mesures!$C:$C,R$40),"")</f>
        <v/>
      </c>
      <c r="S49" s="3">
        <f>IFERROR(AVERAGEIFS(Mesures!$I:$I,Mesures!$F:$F,$A49,Mesures!$C:$C,S$40),"")</f>
        <v/>
      </c>
      <c r="T49" s="3">
        <f>IFERROR(AVERAGEIFS(Mesures!$I:$I,Mesures!$F:$F,$A49,Mesures!$C:$C,T$40),"")</f>
        <v/>
      </c>
      <c r="U49" s="3">
        <f>IFERROR(AVERAGEIFS(Mesures!$I:$I,Mesures!$F:$F,$A49,Mesures!$C:$C,U$40),"")</f>
        <v/>
      </c>
      <c r="V49" s="3">
        <f>IFERROR(AVERAGEIFS(Mesures!$I:$I,Mesures!$F:$F,$A49,Mesures!$C:$C,V$40),"")</f>
        <v/>
      </c>
      <c r="W49" s="3">
        <f>IFERROR(AVERAGEIFS(Mesures!$I:$I,Mesures!$F:$F,$A49,Mesures!$C:$C,W$40),"")</f>
        <v/>
      </c>
      <c r="X49" s="3">
        <f>IFERROR(AVERAGEIFS(Mesures!$I:$I,Mesures!$F:$F,$A49,Mesures!$C:$C,X$40),"")</f>
        <v/>
      </c>
      <c r="Y49" s="3">
        <f>IFERROR(AVERAGEIFS(Mesures!$I:$I,Mesures!$F:$F,$A49,Mesures!$C:$C,Y$40),"")</f>
        <v/>
      </c>
      <c r="Z49" s="3">
        <f>IFERROR(AVERAGEIFS(Mesures!$I:$I,Mesures!$F:$F,$A49,Mesures!$C:$C,Z$40),"")</f>
        <v/>
      </c>
      <c r="AA49" s="3">
        <f>IFERROR(AVERAGEIFS(Mesures!$I:$I,Mesures!$F:$F,$A49,Mesures!$C:$C,AA$40),"")</f>
        <v/>
      </c>
      <c r="AB49" s="3">
        <f>IFERROR(AVERAGEIFS(Mesures!$I:$I,Mesures!$F:$F,$A49,Mesures!$C:$C,AB$40),"")</f>
        <v/>
      </c>
      <c r="AC49" s="3">
        <f>IFERROR(AVERAGEIFS(Mesures!$I:$I,Mesures!$F:$F,$A49,Mesures!$C:$C,AC$40),"")</f>
        <v/>
      </c>
      <c r="AD49" s="3">
        <f>IFERROR(AVERAGEIFS(Mesures!$I:$I,Mesures!$F:$F,$A49,Mesures!$C:$C,AD$40),"")</f>
        <v/>
      </c>
      <c r="AE49" s="3">
        <f>IFERROR(AVERAGEIFS(Mesures!$I:$I,Mesures!$F:$F,$A49,Mesures!$C:$C,AE$40),"")</f>
        <v/>
      </c>
      <c r="AF49" s="3">
        <f>IFERROR(AVERAGEIFS(Mesures!$I:$I,Mesures!$F:$F,$A49,Mesures!$C:$C,AF$40),"")</f>
        <v/>
      </c>
      <c r="AG49" s="3">
        <f>IFERROR(AVERAGEIFS(Mesures!$I:$I,Mesures!$F:$F,$A49,Mesures!$C:$C,AG$40),"")</f>
        <v/>
      </c>
      <c r="AH49" s="3">
        <f>IFERROR(AVERAGEIFS(Mesures!$I:$I,Mesures!$F:$F,$A49,Mesures!$C:$C,AH$40),"")</f>
        <v/>
      </c>
      <c r="AI49" s="3">
        <f>IFERROR(AVERAGEIFS(Mesures!$I:$I,Mesures!$F:$F,$A49,Mesures!$C:$C,AI$40),"")</f>
        <v/>
      </c>
      <c r="AJ49" s="3">
        <f>IFERROR(AVERAGEIFS(Mesures!$I:$I,Mesures!$F:$F,$A49,Mesures!$C:$C,AJ$40),"")</f>
        <v/>
      </c>
      <c r="AK49" s="3">
        <f>IFERROR(AVERAGEIFS(Mesures!$I:$I,Mesures!$F:$F,$A49,Mesures!$C:$C,AK$40),"")</f>
        <v/>
      </c>
      <c r="AL49" s="3">
        <f>IFERROR(AVERAGEIFS(Mesures!$I:$I,Mesures!$F:$F,$A49,Mesures!$C:$C,AL$40),"")</f>
        <v/>
      </c>
      <c r="AM49" s="3">
        <f>IFERROR(AVERAGEIFS(Mesures!$I:$I,Mesures!$F:$F,$A49,Mesures!$C:$C,AM$40),"")</f>
        <v/>
      </c>
      <c r="AN49" s="3">
        <f>IFERROR(AVERAGEIFS(Mesures!$I:$I,Mesures!$F:$F,$A49,Mesures!$C:$C,AN$40),"")</f>
        <v/>
      </c>
      <c r="AO49" s="3">
        <f>IFERROR(AVERAGEIFS(Mesures!$I:$I,Mesures!$F:$F,$A49,Mesures!$C:$C,AO$40),"")</f>
        <v/>
      </c>
      <c r="AP49" s="3">
        <f>IFERROR(AVERAGEIFS(Mesures!$I:$I,Mesures!$F:$F,$A49,Mesures!$C:$C,AP$40),"")</f>
        <v/>
      </c>
      <c r="AQ49" s="3">
        <f>IFERROR(AVERAGEIFS(Mesures!$I:$I,Mesures!$F:$F,$A49,Mesures!$C:$C,AQ$40),"")</f>
        <v/>
      </c>
      <c r="AR49" s="3">
        <f>IFERROR(AVERAGEIFS(Mesures!$I:$I,Mesures!$F:$F,$A49,Mesures!$C:$C,AR$40),"")</f>
        <v/>
      </c>
      <c r="AS49" s="3">
        <f>IFERROR(AVERAGEIFS(Mesures!$I:$I,Mesures!$F:$F,$A49,Mesures!$C:$C,AS$40),"")</f>
        <v/>
      </c>
      <c r="AT49" s="3">
        <f>IFERROR(AVERAGEIFS(Mesures!$I:$I,Mesures!$F:$F,$A49,Mesures!$C:$C,AT$40),"")</f>
        <v/>
      </c>
      <c r="AU49" s="3">
        <f>IFERROR(AVERAGEIFS(Mesures!$I:$I,Mesures!$F:$F,$A49,Mesures!$C:$C,AU$40),"")</f>
        <v/>
      </c>
      <c r="AV49" s="3">
        <f>IFERROR(AVERAGEIFS(Mesures!$I:$I,Mesures!$F:$F,$A49,Mesures!$C:$C,AV$40),"")</f>
        <v/>
      </c>
      <c r="AW49" s="3">
        <f>IFERROR(AVERAGEIFS(Mesures!$I:$I,Mesures!$F:$F,$A49,Mesures!$C:$C,AW$40),"")</f>
        <v/>
      </c>
      <c r="AX49" s="3">
        <f>IFERROR(AVERAGEIFS(Mesures!$I:$I,Mesures!$F:$F,$A49,Mesures!$C:$C,AX$40),"")</f>
        <v/>
      </c>
      <c r="AY49" s="3">
        <f>IFERROR(AVERAGEIFS(Mesures!$I:$I,Mesures!$F:$F,$A49,Mesures!$C:$C,AY$40),"")</f>
        <v/>
      </c>
      <c r="AZ49" s="3">
        <f>IFERROR(AVERAGEIFS(Mesures!$I:$I,Mesures!$F:$F,$A49,Mesures!$C:$C,AZ$40),"")</f>
        <v/>
      </c>
      <c r="BA49" s="3">
        <f>IFERROR(AVERAGEIFS(Mesures!$I:$I,Mesures!$F:$F,$A49,Mesures!$C:$C,BA$40),"")</f>
        <v/>
      </c>
      <c r="BB49" s="3">
        <f>IFERROR(AVERAGEIFS(Mesures!$I:$I,Mesures!$F:$F,$A49,Mesures!$C:$C,BB$40),"")</f>
        <v/>
      </c>
      <c r="BC49" s="3">
        <f>IFERROR(AVERAGEIFS(Mesures!$I:$I,Mesures!$F:$F,$A49,Mesures!$C:$C,BC$40),"")</f>
        <v/>
      </c>
      <c r="BD49" s="3">
        <f>IFERROR(AVERAGEIFS(Mesures!$I:$I,Mesures!$F:$F,$A49,Mesures!$C:$C,BD$40),"")</f>
        <v/>
      </c>
      <c r="BE49" s="3">
        <f>IFERROR(AVERAGEIFS(Mesures!$I:$I,Mesures!$F:$F,$A49,Mesures!$C:$C,BE$40),"")</f>
        <v/>
      </c>
      <c r="BF49" s="3">
        <f>IFERROR(AVERAGEIFS(Mesures!$I:$I,Mesures!$F:$F,$A49,Mesures!$C:$C,BF$40),"")</f>
        <v/>
      </c>
    </row>
    <row r="50">
      <c r="A50" s="2" t="inlineStr">
        <is>
          <t>sans rebonds (GI)</t>
        </is>
      </c>
      <c r="B50" s="3">
        <f>IFERROR(AVERAGEIFS(Mesures!$I:$I,Mesures!$F:$F,$A50,Mesures!$C:$C,B$40),"")</f>
        <v/>
      </c>
      <c r="C50" s="3">
        <f>IFERROR(AVERAGEIFS(Mesures!$I:$I,Mesures!$F:$F,$A50,Mesures!$C:$C,C$40),"")</f>
        <v/>
      </c>
      <c r="D50" s="3">
        <f>IFERROR(AVERAGEIFS(Mesures!$I:$I,Mesures!$F:$F,$A50,Mesures!$C:$C,D$40),"")</f>
        <v/>
      </c>
      <c r="E50" s="3">
        <f>IFERROR(AVERAGEIFS(Mesures!$I:$I,Mesures!$F:$F,$A50,Mesures!$C:$C,E$40),"")</f>
        <v/>
      </c>
      <c r="F50" s="3">
        <f>IFERROR(AVERAGEIFS(Mesures!$I:$I,Mesures!$F:$F,$A50,Mesures!$C:$C,F$40),"")</f>
        <v/>
      </c>
      <c r="G50" s="3">
        <f>IFERROR(AVERAGEIFS(Mesures!$I:$I,Mesures!$F:$F,$A50,Mesures!$C:$C,G$40),"")</f>
        <v/>
      </c>
      <c r="H50" s="3">
        <f>IFERROR(AVERAGEIFS(Mesures!$I:$I,Mesures!$F:$F,$A50,Mesures!$C:$C,H$40),"")</f>
        <v/>
      </c>
      <c r="I50" s="3">
        <f>IFERROR(AVERAGEIFS(Mesures!$I:$I,Mesures!$F:$F,$A50,Mesures!$C:$C,I$40),"")</f>
        <v/>
      </c>
      <c r="J50" s="3">
        <f>IFERROR(AVERAGEIFS(Mesures!$I:$I,Mesures!$F:$F,$A50,Mesures!$C:$C,J$40),"")</f>
        <v/>
      </c>
      <c r="K50" s="3">
        <f>IFERROR(AVERAGEIFS(Mesures!$I:$I,Mesures!$F:$F,$A50,Mesures!$C:$C,K$40),"")</f>
        <v/>
      </c>
      <c r="L50" s="3">
        <f>IFERROR(AVERAGEIFS(Mesures!$I:$I,Mesures!$F:$F,$A50,Mesures!$C:$C,L$40),"")</f>
        <v/>
      </c>
      <c r="M50" s="3">
        <f>IFERROR(AVERAGEIFS(Mesures!$I:$I,Mesures!$F:$F,$A50,Mesures!$C:$C,M$40),"")</f>
        <v/>
      </c>
      <c r="N50" s="3">
        <f>IFERROR(AVERAGEIFS(Mesures!$I:$I,Mesures!$F:$F,$A50,Mesures!$C:$C,N$40),"")</f>
        <v/>
      </c>
      <c r="O50" s="3">
        <f>IFERROR(AVERAGEIFS(Mesures!$I:$I,Mesures!$F:$F,$A50,Mesures!$C:$C,O$40),"")</f>
        <v/>
      </c>
      <c r="P50" s="3">
        <f>IFERROR(AVERAGEIFS(Mesures!$I:$I,Mesures!$F:$F,$A50,Mesures!$C:$C,P$40),"")</f>
        <v/>
      </c>
      <c r="Q50" s="3">
        <f>IFERROR(AVERAGEIFS(Mesures!$I:$I,Mesures!$F:$F,$A50,Mesures!$C:$C,Q$40),"")</f>
        <v/>
      </c>
      <c r="R50" s="3">
        <f>IFERROR(AVERAGEIFS(Mesures!$I:$I,Mesures!$F:$F,$A50,Mesures!$C:$C,R$40),"")</f>
        <v/>
      </c>
      <c r="S50" s="3">
        <f>IFERROR(AVERAGEIFS(Mesures!$I:$I,Mesures!$F:$F,$A50,Mesures!$C:$C,S$40),"")</f>
        <v/>
      </c>
      <c r="T50" s="3">
        <f>IFERROR(AVERAGEIFS(Mesures!$I:$I,Mesures!$F:$F,$A50,Mesures!$C:$C,T$40),"")</f>
        <v/>
      </c>
      <c r="U50" s="3">
        <f>IFERROR(AVERAGEIFS(Mesures!$I:$I,Mesures!$F:$F,$A50,Mesures!$C:$C,U$40),"")</f>
        <v/>
      </c>
      <c r="V50" s="3">
        <f>IFERROR(AVERAGEIFS(Mesures!$I:$I,Mesures!$F:$F,$A50,Mesures!$C:$C,V$40),"")</f>
        <v/>
      </c>
      <c r="W50" s="3">
        <f>IFERROR(AVERAGEIFS(Mesures!$I:$I,Mesures!$F:$F,$A50,Mesures!$C:$C,W$40),"")</f>
        <v/>
      </c>
      <c r="X50" s="3">
        <f>IFERROR(AVERAGEIFS(Mesures!$I:$I,Mesures!$F:$F,$A50,Mesures!$C:$C,X$40),"")</f>
        <v/>
      </c>
      <c r="Y50" s="3">
        <f>IFERROR(AVERAGEIFS(Mesures!$I:$I,Mesures!$F:$F,$A50,Mesures!$C:$C,Y$40),"")</f>
        <v/>
      </c>
      <c r="Z50" s="3">
        <f>IFERROR(AVERAGEIFS(Mesures!$I:$I,Mesures!$F:$F,$A50,Mesures!$C:$C,Z$40),"")</f>
        <v/>
      </c>
      <c r="AA50" s="3">
        <f>IFERROR(AVERAGEIFS(Mesures!$I:$I,Mesures!$F:$F,$A50,Mesures!$C:$C,AA$40),"")</f>
        <v/>
      </c>
      <c r="AB50" s="3">
        <f>IFERROR(AVERAGEIFS(Mesures!$I:$I,Mesures!$F:$F,$A50,Mesures!$C:$C,AB$40),"")</f>
        <v/>
      </c>
      <c r="AC50" s="3">
        <f>IFERROR(AVERAGEIFS(Mesures!$I:$I,Mesures!$F:$F,$A50,Mesures!$C:$C,AC$40),"")</f>
        <v/>
      </c>
      <c r="AD50" s="3">
        <f>IFERROR(AVERAGEIFS(Mesures!$I:$I,Mesures!$F:$F,$A50,Mesures!$C:$C,AD$40),"")</f>
        <v/>
      </c>
      <c r="AE50" s="3">
        <f>IFERROR(AVERAGEIFS(Mesures!$I:$I,Mesures!$F:$F,$A50,Mesures!$C:$C,AE$40),"")</f>
        <v/>
      </c>
      <c r="AF50" s="3">
        <f>IFERROR(AVERAGEIFS(Mesures!$I:$I,Mesures!$F:$F,$A50,Mesures!$C:$C,AF$40),"")</f>
        <v/>
      </c>
      <c r="AG50" s="3">
        <f>IFERROR(AVERAGEIFS(Mesures!$I:$I,Mesures!$F:$F,$A50,Mesures!$C:$C,AG$40),"")</f>
        <v/>
      </c>
      <c r="AH50" s="3">
        <f>IFERROR(AVERAGEIFS(Mesures!$I:$I,Mesures!$F:$F,$A50,Mesures!$C:$C,AH$40),"")</f>
        <v/>
      </c>
      <c r="AI50" s="3">
        <f>IFERROR(AVERAGEIFS(Mesures!$I:$I,Mesures!$F:$F,$A50,Mesures!$C:$C,AI$40),"")</f>
        <v/>
      </c>
      <c r="AJ50" s="3">
        <f>IFERROR(AVERAGEIFS(Mesures!$I:$I,Mesures!$F:$F,$A50,Mesures!$C:$C,AJ$40),"")</f>
        <v/>
      </c>
      <c r="AK50" s="3">
        <f>IFERROR(AVERAGEIFS(Mesures!$I:$I,Mesures!$F:$F,$A50,Mesures!$C:$C,AK$40),"")</f>
        <v/>
      </c>
      <c r="AL50" s="3">
        <f>IFERROR(AVERAGEIFS(Mesures!$I:$I,Mesures!$F:$F,$A50,Mesures!$C:$C,AL$40),"")</f>
        <v/>
      </c>
      <c r="AM50" s="3">
        <f>IFERROR(AVERAGEIFS(Mesures!$I:$I,Mesures!$F:$F,$A50,Mesures!$C:$C,AM$40),"")</f>
        <v/>
      </c>
      <c r="AN50" s="3">
        <f>IFERROR(AVERAGEIFS(Mesures!$I:$I,Mesures!$F:$F,$A50,Mesures!$C:$C,AN$40),"")</f>
        <v/>
      </c>
      <c r="AO50" s="3">
        <f>IFERROR(AVERAGEIFS(Mesures!$I:$I,Mesures!$F:$F,$A50,Mesures!$C:$C,AO$40),"")</f>
        <v/>
      </c>
      <c r="AP50" s="3">
        <f>IFERROR(AVERAGEIFS(Mesures!$I:$I,Mesures!$F:$F,$A50,Mesures!$C:$C,AP$40),"")</f>
        <v/>
      </c>
      <c r="AQ50" s="3">
        <f>IFERROR(AVERAGEIFS(Mesures!$I:$I,Mesures!$F:$F,$A50,Mesures!$C:$C,AQ$40),"")</f>
        <v/>
      </c>
      <c r="AR50" s="3">
        <f>IFERROR(AVERAGEIFS(Mesures!$I:$I,Mesures!$F:$F,$A50,Mesures!$C:$C,AR$40),"")</f>
        <v/>
      </c>
      <c r="AS50" s="3">
        <f>IFERROR(AVERAGEIFS(Mesures!$I:$I,Mesures!$F:$F,$A50,Mesures!$C:$C,AS$40),"")</f>
        <v/>
      </c>
      <c r="AT50" s="3">
        <f>IFERROR(AVERAGEIFS(Mesures!$I:$I,Mesures!$F:$F,$A50,Mesures!$C:$C,AT$40),"")</f>
        <v/>
      </c>
      <c r="AU50" s="3">
        <f>IFERROR(AVERAGEIFS(Mesures!$I:$I,Mesures!$F:$F,$A50,Mesures!$C:$C,AU$40),"")</f>
        <v/>
      </c>
      <c r="AV50" s="3">
        <f>IFERROR(AVERAGEIFS(Mesures!$I:$I,Mesures!$F:$F,$A50,Mesures!$C:$C,AV$40),"")</f>
        <v/>
      </c>
      <c r="AW50" s="3">
        <f>IFERROR(AVERAGEIFS(Mesures!$I:$I,Mesures!$F:$F,$A50,Mesures!$C:$C,AW$40),"")</f>
        <v/>
      </c>
      <c r="AX50" s="3">
        <f>IFERROR(AVERAGEIFS(Mesures!$I:$I,Mesures!$F:$F,$A50,Mesures!$C:$C,AX$40),"")</f>
        <v/>
      </c>
      <c r="AY50" s="3">
        <f>IFERROR(AVERAGEIFS(Mesures!$I:$I,Mesures!$F:$F,$A50,Mesures!$C:$C,AY$40),"")</f>
        <v/>
      </c>
      <c r="AZ50" s="3">
        <f>IFERROR(AVERAGEIFS(Mesures!$I:$I,Mesures!$F:$F,$A50,Mesures!$C:$C,AZ$40),"")</f>
        <v/>
      </c>
      <c r="BA50" s="3">
        <f>IFERROR(AVERAGEIFS(Mesures!$I:$I,Mesures!$F:$F,$A50,Mesures!$C:$C,BA$40),"")</f>
        <v/>
      </c>
      <c r="BB50" s="3">
        <f>IFERROR(AVERAGEIFS(Mesures!$I:$I,Mesures!$F:$F,$A50,Mesures!$C:$C,BB$40),"")</f>
        <v/>
      </c>
      <c r="BC50" s="3">
        <f>IFERROR(AVERAGEIFS(Mesures!$I:$I,Mesures!$F:$F,$A50,Mesures!$C:$C,BC$40),"")</f>
        <v/>
      </c>
      <c r="BD50" s="3">
        <f>IFERROR(AVERAGEIFS(Mesures!$I:$I,Mesures!$F:$F,$A50,Mesures!$C:$C,BD$40),"")</f>
        <v/>
      </c>
      <c r="BE50" s="3">
        <f>IFERROR(AVERAGEIFS(Mesures!$I:$I,Mesures!$F:$F,$A50,Mesures!$C:$C,BE$40),"")</f>
        <v/>
      </c>
      <c r="BF50" s="3">
        <f>IFERROR(AVERAGEIFS(Mesures!$I:$I,Mesures!$F:$F,$A50,Mesures!$C:$C,BF$40),"")</f>
        <v/>
      </c>
    </row>
    <row r="51">
      <c r="A51" s="2" t="inlineStr">
        <is>
          <t>sans fumee volumetrique</t>
        </is>
      </c>
      <c r="B51" s="3">
        <f>IFERROR(AVERAGEIFS(Mesures!$I:$I,Mesures!$F:$F,$A51,Mesures!$C:$C,B$40),"")</f>
        <v/>
      </c>
      <c r="C51" s="3">
        <f>IFERROR(AVERAGEIFS(Mesures!$I:$I,Mesures!$F:$F,$A51,Mesures!$C:$C,C$40),"")</f>
        <v/>
      </c>
      <c r="D51" s="3">
        <f>IFERROR(AVERAGEIFS(Mesures!$I:$I,Mesures!$F:$F,$A51,Mesures!$C:$C,D$40),"")</f>
        <v/>
      </c>
      <c r="E51" s="3">
        <f>IFERROR(AVERAGEIFS(Mesures!$I:$I,Mesures!$F:$F,$A51,Mesures!$C:$C,E$40),"")</f>
        <v/>
      </c>
      <c r="F51" s="3">
        <f>IFERROR(AVERAGEIFS(Mesures!$I:$I,Mesures!$F:$F,$A51,Mesures!$C:$C,F$40),"")</f>
        <v/>
      </c>
      <c r="G51" s="3">
        <f>IFERROR(AVERAGEIFS(Mesures!$I:$I,Mesures!$F:$F,$A51,Mesures!$C:$C,G$40),"")</f>
        <v/>
      </c>
      <c r="H51" s="3">
        <f>IFERROR(AVERAGEIFS(Mesures!$I:$I,Mesures!$F:$F,$A51,Mesures!$C:$C,H$40),"")</f>
        <v/>
      </c>
      <c r="I51" s="3">
        <f>IFERROR(AVERAGEIFS(Mesures!$I:$I,Mesures!$F:$F,$A51,Mesures!$C:$C,I$40),"")</f>
        <v/>
      </c>
      <c r="J51" s="3">
        <f>IFERROR(AVERAGEIFS(Mesures!$I:$I,Mesures!$F:$F,$A51,Mesures!$C:$C,J$40),"")</f>
        <v/>
      </c>
      <c r="K51" s="3">
        <f>IFERROR(AVERAGEIFS(Mesures!$I:$I,Mesures!$F:$F,$A51,Mesures!$C:$C,K$40),"")</f>
        <v/>
      </c>
      <c r="L51" s="3">
        <f>IFERROR(AVERAGEIFS(Mesures!$I:$I,Mesures!$F:$F,$A51,Mesures!$C:$C,L$40),"")</f>
        <v/>
      </c>
      <c r="M51" s="3">
        <f>IFERROR(AVERAGEIFS(Mesures!$I:$I,Mesures!$F:$F,$A51,Mesures!$C:$C,M$40),"")</f>
        <v/>
      </c>
      <c r="N51" s="3">
        <f>IFERROR(AVERAGEIFS(Mesures!$I:$I,Mesures!$F:$F,$A51,Mesures!$C:$C,N$40),"")</f>
        <v/>
      </c>
      <c r="O51" s="3">
        <f>IFERROR(AVERAGEIFS(Mesures!$I:$I,Mesures!$F:$F,$A51,Mesures!$C:$C,O$40),"")</f>
        <v/>
      </c>
      <c r="P51" s="3">
        <f>IFERROR(AVERAGEIFS(Mesures!$I:$I,Mesures!$F:$F,$A51,Mesures!$C:$C,P$40),"")</f>
        <v/>
      </c>
      <c r="Q51" s="3">
        <f>IFERROR(AVERAGEIFS(Mesures!$I:$I,Mesures!$F:$F,$A51,Mesures!$C:$C,Q$40),"")</f>
        <v/>
      </c>
      <c r="R51" s="3">
        <f>IFERROR(AVERAGEIFS(Mesures!$I:$I,Mesures!$F:$F,$A51,Mesures!$C:$C,R$40),"")</f>
        <v/>
      </c>
      <c r="S51" s="3">
        <f>IFERROR(AVERAGEIFS(Mesures!$I:$I,Mesures!$F:$F,$A51,Mesures!$C:$C,S$40),"")</f>
        <v/>
      </c>
      <c r="T51" s="3">
        <f>IFERROR(AVERAGEIFS(Mesures!$I:$I,Mesures!$F:$F,$A51,Mesures!$C:$C,T$40),"")</f>
        <v/>
      </c>
      <c r="U51" s="3">
        <f>IFERROR(AVERAGEIFS(Mesures!$I:$I,Mesures!$F:$F,$A51,Mesures!$C:$C,U$40),"")</f>
        <v/>
      </c>
      <c r="V51" s="3">
        <f>IFERROR(AVERAGEIFS(Mesures!$I:$I,Mesures!$F:$F,$A51,Mesures!$C:$C,V$40),"")</f>
        <v/>
      </c>
      <c r="W51" s="3">
        <f>IFERROR(AVERAGEIFS(Mesures!$I:$I,Mesures!$F:$F,$A51,Mesures!$C:$C,W$40),"")</f>
        <v/>
      </c>
      <c r="X51" s="3">
        <f>IFERROR(AVERAGEIFS(Mesures!$I:$I,Mesures!$F:$F,$A51,Mesures!$C:$C,X$40),"")</f>
        <v/>
      </c>
      <c r="Y51" s="3">
        <f>IFERROR(AVERAGEIFS(Mesures!$I:$I,Mesures!$F:$F,$A51,Mesures!$C:$C,Y$40),"")</f>
        <v/>
      </c>
      <c r="Z51" s="3">
        <f>IFERROR(AVERAGEIFS(Mesures!$I:$I,Mesures!$F:$F,$A51,Mesures!$C:$C,Z$40),"")</f>
        <v/>
      </c>
      <c r="AA51" s="3">
        <f>IFERROR(AVERAGEIFS(Mesures!$I:$I,Mesures!$F:$F,$A51,Mesures!$C:$C,AA$40),"")</f>
        <v/>
      </c>
      <c r="AB51" s="3">
        <f>IFERROR(AVERAGEIFS(Mesures!$I:$I,Mesures!$F:$F,$A51,Mesures!$C:$C,AB$40),"")</f>
        <v/>
      </c>
      <c r="AC51" s="3">
        <f>IFERROR(AVERAGEIFS(Mesures!$I:$I,Mesures!$F:$F,$A51,Mesures!$C:$C,AC$40),"")</f>
        <v/>
      </c>
      <c r="AD51" s="3">
        <f>IFERROR(AVERAGEIFS(Mesures!$I:$I,Mesures!$F:$F,$A51,Mesures!$C:$C,AD$40),"")</f>
        <v/>
      </c>
      <c r="AE51" s="3">
        <f>IFERROR(AVERAGEIFS(Mesures!$I:$I,Mesures!$F:$F,$A51,Mesures!$C:$C,AE$40),"")</f>
        <v/>
      </c>
      <c r="AF51" s="3">
        <f>IFERROR(AVERAGEIFS(Mesures!$I:$I,Mesures!$F:$F,$A51,Mesures!$C:$C,AF$40),"")</f>
        <v/>
      </c>
      <c r="AG51" s="3">
        <f>IFERROR(AVERAGEIFS(Mesures!$I:$I,Mesures!$F:$F,$A51,Mesures!$C:$C,AG$40),"")</f>
        <v/>
      </c>
      <c r="AH51" s="3">
        <f>IFERROR(AVERAGEIFS(Mesures!$I:$I,Mesures!$F:$F,$A51,Mesures!$C:$C,AH$40),"")</f>
        <v/>
      </c>
      <c r="AI51" s="3">
        <f>IFERROR(AVERAGEIFS(Mesures!$I:$I,Mesures!$F:$F,$A51,Mesures!$C:$C,AI$40),"")</f>
        <v/>
      </c>
      <c r="AJ51" s="3">
        <f>IFERROR(AVERAGEIFS(Mesures!$I:$I,Mesures!$F:$F,$A51,Mesures!$C:$C,AJ$40),"")</f>
        <v/>
      </c>
      <c r="AK51" s="3">
        <f>IFERROR(AVERAGEIFS(Mesures!$I:$I,Mesures!$F:$F,$A51,Mesures!$C:$C,AK$40),"")</f>
        <v/>
      </c>
      <c r="AL51" s="3">
        <f>IFERROR(AVERAGEIFS(Mesures!$I:$I,Mesures!$F:$F,$A51,Mesures!$C:$C,AL$40),"")</f>
        <v/>
      </c>
      <c r="AM51" s="3">
        <f>IFERROR(AVERAGEIFS(Mesures!$I:$I,Mesures!$F:$F,$A51,Mesures!$C:$C,AM$40),"")</f>
        <v/>
      </c>
      <c r="AN51" s="3">
        <f>IFERROR(AVERAGEIFS(Mesures!$I:$I,Mesures!$F:$F,$A51,Mesures!$C:$C,AN$40),"")</f>
        <v/>
      </c>
      <c r="AO51" s="3">
        <f>IFERROR(AVERAGEIFS(Mesures!$I:$I,Mesures!$F:$F,$A51,Mesures!$C:$C,AO$40),"")</f>
        <v/>
      </c>
      <c r="AP51" s="3">
        <f>IFERROR(AVERAGEIFS(Mesures!$I:$I,Mesures!$F:$F,$A51,Mesures!$C:$C,AP$40),"")</f>
        <v/>
      </c>
      <c r="AQ51" s="3">
        <f>IFERROR(AVERAGEIFS(Mesures!$I:$I,Mesures!$F:$F,$A51,Mesures!$C:$C,AQ$40),"")</f>
        <v/>
      </c>
      <c r="AR51" s="3">
        <f>IFERROR(AVERAGEIFS(Mesures!$I:$I,Mesures!$F:$F,$A51,Mesures!$C:$C,AR$40),"")</f>
        <v/>
      </c>
      <c r="AS51" s="3">
        <f>IFERROR(AVERAGEIFS(Mesures!$I:$I,Mesures!$F:$F,$A51,Mesures!$C:$C,AS$40),"")</f>
        <v/>
      </c>
      <c r="AT51" s="3">
        <f>IFERROR(AVERAGEIFS(Mesures!$I:$I,Mesures!$F:$F,$A51,Mesures!$C:$C,AT$40),"")</f>
        <v/>
      </c>
      <c r="AU51" s="3">
        <f>IFERROR(AVERAGEIFS(Mesures!$I:$I,Mesures!$F:$F,$A51,Mesures!$C:$C,AU$40),"")</f>
        <v/>
      </c>
      <c r="AV51" s="3">
        <f>IFERROR(AVERAGEIFS(Mesures!$I:$I,Mesures!$F:$F,$A51,Mesures!$C:$C,AV$40),"")</f>
        <v/>
      </c>
      <c r="AW51" s="3">
        <f>IFERROR(AVERAGEIFS(Mesures!$I:$I,Mesures!$F:$F,$A51,Mesures!$C:$C,AW$40),"")</f>
        <v/>
      </c>
      <c r="AX51" s="3">
        <f>IFERROR(AVERAGEIFS(Mesures!$I:$I,Mesures!$F:$F,$A51,Mesures!$C:$C,AX$40),"")</f>
        <v/>
      </c>
      <c r="AY51" s="3">
        <f>IFERROR(AVERAGEIFS(Mesures!$I:$I,Mesures!$F:$F,$A51,Mesures!$C:$C,AY$40),"")</f>
        <v/>
      </c>
      <c r="AZ51" s="3">
        <f>IFERROR(AVERAGEIFS(Mesures!$I:$I,Mesures!$F:$F,$A51,Mesures!$C:$C,AZ$40),"")</f>
        <v/>
      </c>
      <c r="BA51" s="3">
        <f>IFERROR(AVERAGEIFS(Mesures!$I:$I,Mesures!$F:$F,$A51,Mesures!$C:$C,BA$40),"")</f>
        <v/>
      </c>
      <c r="BB51" s="3">
        <f>IFERROR(AVERAGEIFS(Mesures!$I:$I,Mesures!$F:$F,$A51,Mesures!$C:$C,BB$40),"")</f>
        <v/>
      </c>
      <c r="BC51" s="3">
        <f>IFERROR(AVERAGEIFS(Mesures!$I:$I,Mesures!$F:$F,$A51,Mesures!$C:$C,BC$40),"")</f>
        <v/>
      </c>
      <c r="BD51" s="3">
        <f>IFERROR(AVERAGEIFS(Mesures!$I:$I,Mesures!$F:$F,$A51,Mesures!$C:$C,BD$40),"")</f>
        <v/>
      </c>
      <c r="BE51" s="3">
        <f>IFERROR(AVERAGEIFS(Mesures!$I:$I,Mesures!$F:$F,$A51,Mesures!$C:$C,BE$40),"")</f>
        <v/>
      </c>
      <c r="BF51" s="3">
        <f>IFERROR(AVERAGEIFS(Mesures!$I:$I,Mesures!$F:$F,$A51,Mesures!$C:$C,BF$40),"")</f>
        <v/>
      </c>
    </row>
    <row r="52">
      <c r="A52" s="2" t="inlineStr">
        <is>
          <t>sans taches sur surfaces</t>
        </is>
      </c>
      <c r="B52" s="3">
        <f>IFERROR(AVERAGEIFS(Mesures!$I:$I,Mesures!$F:$F,$A52,Mesures!$C:$C,B$40),"")</f>
        <v/>
      </c>
      <c r="C52" s="3">
        <f>IFERROR(AVERAGEIFS(Mesures!$I:$I,Mesures!$F:$F,$A52,Mesures!$C:$C,C$40),"")</f>
        <v/>
      </c>
      <c r="D52" s="3">
        <f>IFERROR(AVERAGEIFS(Mesures!$I:$I,Mesures!$F:$F,$A52,Mesures!$C:$C,D$40),"")</f>
        <v/>
      </c>
      <c r="E52" s="3">
        <f>IFERROR(AVERAGEIFS(Mesures!$I:$I,Mesures!$F:$F,$A52,Mesures!$C:$C,E$40),"")</f>
        <v/>
      </c>
      <c r="F52" s="3">
        <f>IFERROR(AVERAGEIFS(Mesures!$I:$I,Mesures!$F:$F,$A52,Mesures!$C:$C,F$40),"")</f>
        <v/>
      </c>
      <c r="G52" s="3">
        <f>IFERROR(AVERAGEIFS(Mesures!$I:$I,Mesures!$F:$F,$A52,Mesures!$C:$C,G$40),"")</f>
        <v/>
      </c>
      <c r="H52" s="3">
        <f>IFERROR(AVERAGEIFS(Mesures!$I:$I,Mesures!$F:$F,$A52,Mesures!$C:$C,H$40),"")</f>
        <v/>
      </c>
      <c r="I52" s="3">
        <f>IFERROR(AVERAGEIFS(Mesures!$I:$I,Mesures!$F:$F,$A52,Mesures!$C:$C,I$40),"")</f>
        <v/>
      </c>
      <c r="J52" s="3">
        <f>IFERROR(AVERAGEIFS(Mesures!$I:$I,Mesures!$F:$F,$A52,Mesures!$C:$C,J$40),"")</f>
        <v/>
      </c>
      <c r="K52" s="3">
        <f>IFERROR(AVERAGEIFS(Mesures!$I:$I,Mesures!$F:$F,$A52,Mesures!$C:$C,K$40),"")</f>
        <v/>
      </c>
      <c r="L52" s="3">
        <f>IFERROR(AVERAGEIFS(Mesures!$I:$I,Mesures!$F:$F,$A52,Mesures!$C:$C,L$40),"")</f>
        <v/>
      </c>
      <c r="M52" s="3">
        <f>IFERROR(AVERAGEIFS(Mesures!$I:$I,Mesures!$F:$F,$A52,Mesures!$C:$C,M$40),"")</f>
        <v/>
      </c>
      <c r="N52" s="3">
        <f>IFERROR(AVERAGEIFS(Mesures!$I:$I,Mesures!$F:$F,$A52,Mesures!$C:$C,N$40),"")</f>
        <v/>
      </c>
      <c r="O52" s="3">
        <f>IFERROR(AVERAGEIFS(Mesures!$I:$I,Mesures!$F:$F,$A52,Mesures!$C:$C,O$40),"")</f>
        <v/>
      </c>
      <c r="P52" s="3">
        <f>IFERROR(AVERAGEIFS(Mesures!$I:$I,Mesures!$F:$F,$A52,Mesures!$C:$C,P$40),"")</f>
        <v/>
      </c>
      <c r="Q52" s="3">
        <f>IFERROR(AVERAGEIFS(Mesures!$I:$I,Mesures!$F:$F,$A52,Mesures!$C:$C,Q$40),"")</f>
        <v/>
      </c>
      <c r="R52" s="3">
        <f>IFERROR(AVERAGEIFS(Mesures!$I:$I,Mesures!$F:$F,$A52,Mesures!$C:$C,R$40),"")</f>
        <v/>
      </c>
      <c r="S52" s="3">
        <f>IFERROR(AVERAGEIFS(Mesures!$I:$I,Mesures!$F:$F,$A52,Mesures!$C:$C,S$40),"")</f>
        <v/>
      </c>
      <c r="T52" s="3">
        <f>IFERROR(AVERAGEIFS(Mesures!$I:$I,Mesures!$F:$F,$A52,Mesures!$C:$C,T$40),"")</f>
        <v/>
      </c>
      <c r="U52" s="3">
        <f>IFERROR(AVERAGEIFS(Mesures!$I:$I,Mesures!$F:$F,$A52,Mesures!$C:$C,U$40),"")</f>
        <v/>
      </c>
      <c r="V52" s="3">
        <f>IFERROR(AVERAGEIFS(Mesures!$I:$I,Mesures!$F:$F,$A52,Mesures!$C:$C,V$40),"")</f>
        <v/>
      </c>
      <c r="W52" s="3">
        <f>IFERROR(AVERAGEIFS(Mesures!$I:$I,Mesures!$F:$F,$A52,Mesures!$C:$C,W$40),"")</f>
        <v/>
      </c>
      <c r="X52" s="3">
        <f>IFERROR(AVERAGEIFS(Mesures!$I:$I,Mesures!$F:$F,$A52,Mesures!$C:$C,X$40),"")</f>
        <v/>
      </c>
      <c r="Y52" s="3">
        <f>IFERROR(AVERAGEIFS(Mesures!$I:$I,Mesures!$F:$F,$A52,Mesures!$C:$C,Y$40),"")</f>
        <v/>
      </c>
      <c r="Z52" s="3">
        <f>IFERROR(AVERAGEIFS(Mesures!$I:$I,Mesures!$F:$F,$A52,Mesures!$C:$C,Z$40),"")</f>
        <v/>
      </c>
      <c r="AA52" s="3">
        <f>IFERROR(AVERAGEIFS(Mesures!$I:$I,Mesures!$F:$F,$A52,Mesures!$C:$C,AA$40),"")</f>
        <v/>
      </c>
      <c r="AB52" s="3">
        <f>IFERROR(AVERAGEIFS(Mesures!$I:$I,Mesures!$F:$F,$A52,Mesures!$C:$C,AB$40),"")</f>
        <v/>
      </c>
      <c r="AC52" s="3">
        <f>IFERROR(AVERAGEIFS(Mesures!$I:$I,Mesures!$F:$F,$A52,Mesures!$C:$C,AC$40),"")</f>
        <v/>
      </c>
      <c r="AD52" s="3">
        <f>IFERROR(AVERAGEIFS(Mesures!$I:$I,Mesures!$F:$F,$A52,Mesures!$C:$C,AD$40),"")</f>
        <v/>
      </c>
      <c r="AE52" s="3">
        <f>IFERROR(AVERAGEIFS(Mesures!$I:$I,Mesures!$F:$F,$A52,Mesures!$C:$C,AE$40),"")</f>
        <v/>
      </c>
      <c r="AF52" s="3">
        <f>IFERROR(AVERAGEIFS(Mesures!$I:$I,Mesures!$F:$F,$A52,Mesures!$C:$C,AF$40),"")</f>
        <v/>
      </c>
      <c r="AG52" s="3">
        <f>IFERROR(AVERAGEIFS(Mesures!$I:$I,Mesures!$F:$F,$A52,Mesures!$C:$C,AG$40),"")</f>
        <v/>
      </c>
      <c r="AH52" s="3">
        <f>IFERROR(AVERAGEIFS(Mesures!$I:$I,Mesures!$F:$F,$A52,Mesures!$C:$C,AH$40),"")</f>
        <v/>
      </c>
      <c r="AI52" s="3">
        <f>IFERROR(AVERAGEIFS(Mesures!$I:$I,Mesures!$F:$F,$A52,Mesures!$C:$C,AI$40),"")</f>
        <v/>
      </c>
      <c r="AJ52" s="3">
        <f>IFERROR(AVERAGEIFS(Mesures!$I:$I,Mesures!$F:$F,$A52,Mesures!$C:$C,AJ$40),"")</f>
        <v/>
      </c>
      <c r="AK52" s="3">
        <f>IFERROR(AVERAGEIFS(Mesures!$I:$I,Mesures!$F:$F,$A52,Mesures!$C:$C,AK$40),"")</f>
        <v/>
      </c>
      <c r="AL52" s="3">
        <f>IFERROR(AVERAGEIFS(Mesures!$I:$I,Mesures!$F:$F,$A52,Mesures!$C:$C,AL$40),"")</f>
        <v/>
      </c>
      <c r="AM52" s="3">
        <f>IFERROR(AVERAGEIFS(Mesures!$I:$I,Mesures!$F:$F,$A52,Mesures!$C:$C,AM$40),"")</f>
        <v/>
      </c>
      <c r="AN52" s="3">
        <f>IFERROR(AVERAGEIFS(Mesures!$I:$I,Mesures!$F:$F,$A52,Mesures!$C:$C,AN$40),"")</f>
        <v/>
      </c>
      <c r="AO52" s="3">
        <f>IFERROR(AVERAGEIFS(Mesures!$I:$I,Mesures!$F:$F,$A52,Mesures!$C:$C,AO$40),"")</f>
        <v/>
      </c>
      <c r="AP52" s="3">
        <f>IFERROR(AVERAGEIFS(Mesures!$I:$I,Mesures!$F:$F,$A52,Mesures!$C:$C,AP$40),"")</f>
        <v/>
      </c>
      <c r="AQ52" s="3">
        <f>IFERROR(AVERAGEIFS(Mesures!$I:$I,Mesures!$F:$F,$A52,Mesures!$C:$C,AQ$40),"")</f>
        <v/>
      </c>
      <c r="AR52" s="3">
        <f>IFERROR(AVERAGEIFS(Mesures!$I:$I,Mesures!$F:$F,$A52,Mesures!$C:$C,AR$40),"")</f>
        <v/>
      </c>
      <c r="AS52" s="3">
        <f>IFERROR(AVERAGEIFS(Mesures!$I:$I,Mesures!$F:$F,$A52,Mesures!$C:$C,AS$40),"")</f>
        <v/>
      </c>
      <c r="AT52" s="3">
        <f>IFERROR(AVERAGEIFS(Mesures!$I:$I,Mesures!$F:$F,$A52,Mesures!$C:$C,AT$40),"")</f>
        <v/>
      </c>
      <c r="AU52" s="3">
        <f>IFERROR(AVERAGEIFS(Mesures!$I:$I,Mesures!$F:$F,$A52,Mesures!$C:$C,AU$40),"")</f>
        <v/>
      </c>
      <c r="AV52" s="3">
        <f>IFERROR(AVERAGEIFS(Mesures!$I:$I,Mesures!$F:$F,$A52,Mesures!$C:$C,AV$40),"")</f>
        <v/>
      </c>
      <c r="AW52" s="3">
        <f>IFERROR(AVERAGEIFS(Mesures!$I:$I,Mesures!$F:$F,$A52,Mesures!$C:$C,AW$40),"")</f>
        <v/>
      </c>
      <c r="AX52" s="3">
        <f>IFERROR(AVERAGEIFS(Mesures!$I:$I,Mesures!$F:$F,$A52,Mesures!$C:$C,AX$40),"")</f>
        <v/>
      </c>
      <c r="AY52" s="3">
        <f>IFERROR(AVERAGEIFS(Mesures!$I:$I,Mesures!$F:$F,$A52,Mesures!$C:$C,AY$40),"")</f>
        <v/>
      </c>
      <c r="AZ52" s="3">
        <f>IFERROR(AVERAGEIFS(Mesures!$I:$I,Mesures!$F:$F,$A52,Mesures!$C:$C,AZ$40),"")</f>
        <v/>
      </c>
      <c r="BA52" s="3">
        <f>IFERROR(AVERAGEIFS(Mesures!$I:$I,Mesures!$F:$F,$A52,Mesures!$C:$C,BA$40),"")</f>
        <v/>
      </c>
      <c r="BB52" s="3">
        <f>IFERROR(AVERAGEIFS(Mesures!$I:$I,Mesures!$F:$F,$A52,Mesures!$C:$C,BB$40),"")</f>
        <v/>
      </c>
      <c r="BC52" s="3">
        <f>IFERROR(AVERAGEIFS(Mesures!$I:$I,Mesures!$F:$F,$A52,Mesures!$C:$C,BC$40),"")</f>
        <v/>
      </c>
      <c r="BD52" s="3">
        <f>IFERROR(AVERAGEIFS(Mesures!$I:$I,Mesures!$F:$F,$A52,Mesures!$C:$C,BD$40),"")</f>
        <v/>
      </c>
      <c r="BE52" s="3">
        <f>IFERROR(AVERAGEIFS(Mesures!$I:$I,Mesures!$F:$F,$A52,Mesures!$C:$C,BE$40),"")</f>
        <v/>
      </c>
      <c r="BF52" s="3">
        <f>IFERROR(AVERAGEIFS(Mesures!$I:$I,Mesures!$F:$F,$A52,Mesures!$C:$C,BF$40),"")</f>
        <v/>
      </c>
    </row>
    <row r="53">
      <c r="A53" s="2" t="inlineStr">
        <is>
          <t>sans reflets</t>
        </is>
      </c>
      <c r="B53" s="3">
        <f>IFERROR(AVERAGEIFS(Mesures!$I:$I,Mesures!$F:$F,$A53,Mesures!$C:$C,B$40),"")</f>
        <v/>
      </c>
      <c r="C53" s="3">
        <f>IFERROR(AVERAGEIFS(Mesures!$I:$I,Mesures!$F:$F,$A53,Mesures!$C:$C,C$40),"")</f>
        <v/>
      </c>
      <c r="D53" s="3">
        <f>IFERROR(AVERAGEIFS(Mesures!$I:$I,Mesures!$F:$F,$A53,Mesures!$C:$C,D$40),"")</f>
        <v/>
      </c>
      <c r="E53" s="3">
        <f>IFERROR(AVERAGEIFS(Mesures!$I:$I,Mesures!$F:$F,$A53,Mesures!$C:$C,E$40),"")</f>
        <v/>
      </c>
      <c r="F53" s="3">
        <f>IFERROR(AVERAGEIFS(Mesures!$I:$I,Mesures!$F:$F,$A53,Mesures!$C:$C,F$40),"")</f>
        <v/>
      </c>
      <c r="G53" s="3">
        <f>IFERROR(AVERAGEIFS(Mesures!$I:$I,Mesures!$F:$F,$A53,Mesures!$C:$C,G$40),"")</f>
        <v/>
      </c>
      <c r="H53" s="3">
        <f>IFERROR(AVERAGEIFS(Mesures!$I:$I,Mesures!$F:$F,$A53,Mesures!$C:$C,H$40),"")</f>
        <v/>
      </c>
      <c r="I53" s="3">
        <f>IFERROR(AVERAGEIFS(Mesures!$I:$I,Mesures!$F:$F,$A53,Mesures!$C:$C,I$40),"")</f>
        <v/>
      </c>
      <c r="J53" s="3">
        <f>IFERROR(AVERAGEIFS(Mesures!$I:$I,Mesures!$F:$F,$A53,Mesures!$C:$C,J$40),"")</f>
        <v/>
      </c>
      <c r="K53" s="3">
        <f>IFERROR(AVERAGEIFS(Mesures!$I:$I,Mesures!$F:$F,$A53,Mesures!$C:$C,K$40),"")</f>
        <v/>
      </c>
      <c r="L53" s="3">
        <f>IFERROR(AVERAGEIFS(Mesures!$I:$I,Mesures!$F:$F,$A53,Mesures!$C:$C,L$40),"")</f>
        <v/>
      </c>
      <c r="M53" s="3">
        <f>IFERROR(AVERAGEIFS(Mesures!$I:$I,Mesures!$F:$F,$A53,Mesures!$C:$C,M$40),"")</f>
        <v/>
      </c>
      <c r="N53" s="3">
        <f>IFERROR(AVERAGEIFS(Mesures!$I:$I,Mesures!$F:$F,$A53,Mesures!$C:$C,N$40),"")</f>
        <v/>
      </c>
      <c r="O53" s="3">
        <f>IFERROR(AVERAGEIFS(Mesures!$I:$I,Mesures!$F:$F,$A53,Mesures!$C:$C,O$40),"")</f>
        <v/>
      </c>
      <c r="P53" s="3">
        <f>IFERROR(AVERAGEIFS(Mesures!$I:$I,Mesures!$F:$F,$A53,Mesures!$C:$C,P$40),"")</f>
        <v/>
      </c>
      <c r="Q53" s="3">
        <f>IFERROR(AVERAGEIFS(Mesures!$I:$I,Mesures!$F:$F,$A53,Mesures!$C:$C,Q$40),"")</f>
        <v/>
      </c>
      <c r="R53" s="3">
        <f>IFERROR(AVERAGEIFS(Mesures!$I:$I,Mesures!$F:$F,$A53,Mesures!$C:$C,R$40),"")</f>
        <v/>
      </c>
      <c r="S53" s="3">
        <f>IFERROR(AVERAGEIFS(Mesures!$I:$I,Mesures!$F:$F,$A53,Mesures!$C:$C,S$40),"")</f>
        <v/>
      </c>
      <c r="T53" s="3">
        <f>IFERROR(AVERAGEIFS(Mesures!$I:$I,Mesures!$F:$F,$A53,Mesures!$C:$C,T$40),"")</f>
        <v/>
      </c>
      <c r="U53" s="3">
        <f>IFERROR(AVERAGEIFS(Mesures!$I:$I,Mesures!$F:$F,$A53,Mesures!$C:$C,U$40),"")</f>
        <v/>
      </c>
      <c r="V53" s="3">
        <f>IFERROR(AVERAGEIFS(Mesures!$I:$I,Mesures!$F:$F,$A53,Mesures!$C:$C,V$40),"")</f>
        <v/>
      </c>
      <c r="W53" s="3">
        <f>IFERROR(AVERAGEIFS(Mesures!$I:$I,Mesures!$F:$F,$A53,Mesures!$C:$C,W$40),"")</f>
        <v/>
      </c>
      <c r="X53" s="3">
        <f>IFERROR(AVERAGEIFS(Mesures!$I:$I,Mesures!$F:$F,$A53,Mesures!$C:$C,X$40),"")</f>
        <v/>
      </c>
      <c r="Y53" s="3">
        <f>IFERROR(AVERAGEIFS(Mesures!$I:$I,Mesures!$F:$F,$A53,Mesures!$C:$C,Y$40),"")</f>
        <v/>
      </c>
      <c r="Z53" s="3">
        <f>IFERROR(AVERAGEIFS(Mesures!$I:$I,Mesures!$F:$F,$A53,Mesures!$C:$C,Z$40),"")</f>
        <v/>
      </c>
      <c r="AA53" s="3">
        <f>IFERROR(AVERAGEIFS(Mesures!$I:$I,Mesures!$F:$F,$A53,Mesures!$C:$C,AA$40),"")</f>
        <v/>
      </c>
      <c r="AB53" s="3">
        <f>IFERROR(AVERAGEIFS(Mesures!$I:$I,Mesures!$F:$F,$A53,Mesures!$C:$C,AB$40),"")</f>
        <v/>
      </c>
      <c r="AC53" s="3">
        <f>IFERROR(AVERAGEIFS(Mesures!$I:$I,Mesures!$F:$F,$A53,Mesures!$C:$C,AC$40),"")</f>
        <v/>
      </c>
      <c r="AD53" s="3">
        <f>IFERROR(AVERAGEIFS(Mesures!$I:$I,Mesures!$F:$F,$A53,Mesures!$C:$C,AD$40),"")</f>
        <v/>
      </c>
      <c r="AE53" s="3">
        <f>IFERROR(AVERAGEIFS(Mesures!$I:$I,Mesures!$F:$F,$A53,Mesures!$C:$C,AE$40),"")</f>
        <v/>
      </c>
      <c r="AF53" s="3">
        <f>IFERROR(AVERAGEIFS(Mesures!$I:$I,Mesures!$F:$F,$A53,Mesures!$C:$C,AF$40),"")</f>
        <v/>
      </c>
      <c r="AG53" s="3">
        <f>IFERROR(AVERAGEIFS(Mesures!$I:$I,Mesures!$F:$F,$A53,Mesures!$C:$C,AG$40),"")</f>
        <v/>
      </c>
      <c r="AH53" s="3">
        <f>IFERROR(AVERAGEIFS(Mesures!$I:$I,Mesures!$F:$F,$A53,Mesures!$C:$C,AH$40),"")</f>
        <v/>
      </c>
      <c r="AI53" s="3">
        <f>IFERROR(AVERAGEIFS(Mesures!$I:$I,Mesures!$F:$F,$A53,Mesures!$C:$C,AI$40),"")</f>
        <v/>
      </c>
      <c r="AJ53" s="3">
        <f>IFERROR(AVERAGEIFS(Mesures!$I:$I,Mesures!$F:$F,$A53,Mesures!$C:$C,AJ$40),"")</f>
        <v/>
      </c>
      <c r="AK53" s="3">
        <f>IFERROR(AVERAGEIFS(Mesures!$I:$I,Mesures!$F:$F,$A53,Mesures!$C:$C,AK$40),"")</f>
        <v/>
      </c>
      <c r="AL53" s="3">
        <f>IFERROR(AVERAGEIFS(Mesures!$I:$I,Mesures!$F:$F,$A53,Mesures!$C:$C,AL$40),"")</f>
        <v/>
      </c>
      <c r="AM53" s="3">
        <f>IFERROR(AVERAGEIFS(Mesures!$I:$I,Mesures!$F:$F,$A53,Mesures!$C:$C,AM$40),"")</f>
        <v/>
      </c>
      <c r="AN53" s="3">
        <f>IFERROR(AVERAGEIFS(Mesures!$I:$I,Mesures!$F:$F,$A53,Mesures!$C:$C,AN$40),"")</f>
        <v/>
      </c>
      <c r="AO53" s="3">
        <f>IFERROR(AVERAGEIFS(Mesures!$I:$I,Mesures!$F:$F,$A53,Mesures!$C:$C,AO$40),"")</f>
        <v/>
      </c>
      <c r="AP53" s="3">
        <f>IFERROR(AVERAGEIFS(Mesures!$I:$I,Mesures!$F:$F,$A53,Mesures!$C:$C,AP$40),"")</f>
        <v/>
      </c>
      <c r="AQ53" s="3">
        <f>IFERROR(AVERAGEIFS(Mesures!$I:$I,Mesures!$F:$F,$A53,Mesures!$C:$C,AQ$40),"")</f>
        <v/>
      </c>
      <c r="AR53" s="3">
        <f>IFERROR(AVERAGEIFS(Mesures!$I:$I,Mesures!$F:$F,$A53,Mesures!$C:$C,AR$40),"")</f>
        <v/>
      </c>
      <c r="AS53" s="3">
        <f>IFERROR(AVERAGEIFS(Mesures!$I:$I,Mesures!$F:$F,$A53,Mesures!$C:$C,AS$40),"")</f>
        <v/>
      </c>
      <c r="AT53" s="3">
        <f>IFERROR(AVERAGEIFS(Mesures!$I:$I,Mesures!$F:$F,$A53,Mesures!$C:$C,AT$40),"")</f>
        <v/>
      </c>
      <c r="AU53" s="3">
        <f>IFERROR(AVERAGEIFS(Mesures!$I:$I,Mesures!$F:$F,$A53,Mesures!$C:$C,AU$40),"")</f>
        <v/>
      </c>
      <c r="AV53" s="3">
        <f>IFERROR(AVERAGEIFS(Mesures!$I:$I,Mesures!$F:$F,$A53,Mesures!$C:$C,AV$40),"")</f>
        <v/>
      </c>
      <c r="AW53" s="3">
        <f>IFERROR(AVERAGEIFS(Mesures!$I:$I,Mesures!$F:$F,$A53,Mesures!$C:$C,AW$40),"")</f>
        <v/>
      </c>
      <c r="AX53" s="3">
        <f>IFERROR(AVERAGEIFS(Mesures!$I:$I,Mesures!$F:$F,$A53,Mesures!$C:$C,AX$40),"")</f>
        <v/>
      </c>
      <c r="AY53" s="3">
        <f>IFERROR(AVERAGEIFS(Mesures!$I:$I,Mesures!$F:$F,$A53,Mesures!$C:$C,AY$40),"")</f>
        <v/>
      </c>
      <c r="AZ53" s="3">
        <f>IFERROR(AVERAGEIFS(Mesures!$I:$I,Mesures!$F:$F,$A53,Mesures!$C:$C,AZ$40),"")</f>
        <v/>
      </c>
      <c r="BA53" s="3">
        <f>IFERROR(AVERAGEIFS(Mesures!$I:$I,Mesures!$F:$F,$A53,Mesures!$C:$C,BA$40),"")</f>
        <v/>
      </c>
      <c r="BB53" s="3">
        <f>IFERROR(AVERAGEIFS(Mesures!$I:$I,Mesures!$F:$F,$A53,Mesures!$C:$C,BB$40),"")</f>
        <v/>
      </c>
      <c r="BC53" s="3">
        <f>IFERROR(AVERAGEIFS(Mesures!$I:$I,Mesures!$F:$F,$A53,Mesures!$C:$C,BC$40),"")</f>
        <v/>
      </c>
      <c r="BD53" s="3">
        <f>IFERROR(AVERAGEIFS(Mesures!$I:$I,Mesures!$F:$F,$A53,Mesures!$C:$C,BD$40),"")</f>
        <v/>
      </c>
      <c r="BE53" s="3">
        <f>IFERROR(AVERAGEIFS(Mesures!$I:$I,Mesures!$F:$F,$A53,Mesures!$C:$C,BE$40),"")</f>
        <v/>
      </c>
      <c r="BF53" s="3">
        <f>IFERROR(AVERAGEIFS(Mesures!$I:$I,Mesures!$F:$F,$A53,Mesures!$C:$C,BF$40),"")</f>
        <v/>
      </c>
    </row>
    <row r="54">
      <c r="A54" s="2" t="inlineStr">
        <is>
          <t>sans bloom</t>
        </is>
      </c>
      <c r="B54" s="3">
        <f>IFERROR(AVERAGEIFS(Mesures!$I:$I,Mesures!$F:$F,$A54,Mesures!$C:$C,B$40),"")</f>
        <v/>
      </c>
      <c r="C54" s="3">
        <f>IFERROR(AVERAGEIFS(Mesures!$I:$I,Mesures!$F:$F,$A54,Mesures!$C:$C,C$40),"")</f>
        <v/>
      </c>
      <c r="D54" s="3">
        <f>IFERROR(AVERAGEIFS(Mesures!$I:$I,Mesures!$F:$F,$A54,Mesures!$C:$C,D$40),"")</f>
        <v/>
      </c>
      <c r="E54" s="3">
        <f>IFERROR(AVERAGEIFS(Mesures!$I:$I,Mesures!$F:$F,$A54,Mesures!$C:$C,E$40),"")</f>
        <v/>
      </c>
      <c r="F54" s="3">
        <f>IFERROR(AVERAGEIFS(Mesures!$I:$I,Mesures!$F:$F,$A54,Mesures!$C:$C,F$40),"")</f>
        <v/>
      </c>
      <c r="G54" s="3">
        <f>IFERROR(AVERAGEIFS(Mesures!$I:$I,Mesures!$F:$F,$A54,Mesures!$C:$C,G$40),"")</f>
        <v/>
      </c>
      <c r="H54" s="3">
        <f>IFERROR(AVERAGEIFS(Mesures!$I:$I,Mesures!$F:$F,$A54,Mesures!$C:$C,H$40),"")</f>
        <v/>
      </c>
      <c r="I54" s="3">
        <f>IFERROR(AVERAGEIFS(Mesures!$I:$I,Mesures!$F:$F,$A54,Mesures!$C:$C,I$40),"")</f>
        <v/>
      </c>
      <c r="J54" s="3">
        <f>IFERROR(AVERAGEIFS(Mesures!$I:$I,Mesures!$F:$F,$A54,Mesures!$C:$C,J$40),"")</f>
        <v/>
      </c>
      <c r="K54" s="3">
        <f>IFERROR(AVERAGEIFS(Mesures!$I:$I,Mesures!$F:$F,$A54,Mesures!$C:$C,K$40),"")</f>
        <v/>
      </c>
      <c r="L54" s="3">
        <f>IFERROR(AVERAGEIFS(Mesures!$I:$I,Mesures!$F:$F,$A54,Mesures!$C:$C,L$40),"")</f>
        <v/>
      </c>
      <c r="M54" s="3">
        <f>IFERROR(AVERAGEIFS(Mesures!$I:$I,Mesures!$F:$F,$A54,Mesures!$C:$C,M$40),"")</f>
        <v/>
      </c>
      <c r="N54" s="3">
        <f>IFERROR(AVERAGEIFS(Mesures!$I:$I,Mesures!$F:$F,$A54,Mesures!$C:$C,N$40),"")</f>
        <v/>
      </c>
      <c r="O54" s="3">
        <f>IFERROR(AVERAGEIFS(Mesures!$I:$I,Mesures!$F:$F,$A54,Mesures!$C:$C,O$40),"")</f>
        <v/>
      </c>
      <c r="P54" s="3">
        <f>IFERROR(AVERAGEIFS(Mesures!$I:$I,Mesures!$F:$F,$A54,Mesures!$C:$C,P$40),"")</f>
        <v/>
      </c>
      <c r="Q54" s="3">
        <f>IFERROR(AVERAGEIFS(Mesures!$I:$I,Mesures!$F:$F,$A54,Mesures!$C:$C,Q$40),"")</f>
        <v/>
      </c>
      <c r="R54" s="3">
        <f>IFERROR(AVERAGEIFS(Mesures!$I:$I,Mesures!$F:$F,$A54,Mesures!$C:$C,R$40),"")</f>
        <v/>
      </c>
      <c r="S54" s="3">
        <f>IFERROR(AVERAGEIFS(Mesures!$I:$I,Mesures!$F:$F,$A54,Mesures!$C:$C,S$40),"")</f>
        <v/>
      </c>
      <c r="T54" s="3">
        <f>IFERROR(AVERAGEIFS(Mesures!$I:$I,Mesures!$F:$F,$A54,Mesures!$C:$C,T$40),"")</f>
        <v/>
      </c>
      <c r="U54" s="3">
        <f>IFERROR(AVERAGEIFS(Mesures!$I:$I,Mesures!$F:$F,$A54,Mesures!$C:$C,U$40),"")</f>
        <v/>
      </c>
      <c r="V54" s="3">
        <f>IFERROR(AVERAGEIFS(Mesures!$I:$I,Mesures!$F:$F,$A54,Mesures!$C:$C,V$40),"")</f>
        <v/>
      </c>
      <c r="W54" s="3">
        <f>IFERROR(AVERAGEIFS(Mesures!$I:$I,Mesures!$F:$F,$A54,Mesures!$C:$C,W$40),"")</f>
        <v/>
      </c>
      <c r="X54" s="3">
        <f>IFERROR(AVERAGEIFS(Mesures!$I:$I,Mesures!$F:$F,$A54,Mesures!$C:$C,X$40),"")</f>
        <v/>
      </c>
      <c r="Y54" s="3">
        <f>IFERROR(AVERAGEIFS(Mesures!$I:$I,Mesures!$F:$F,$A54,Mesures!$C:$C,Y$40),"")</f>
        <v/>
      </c>
      <c r="Z54" s="3">
        <f>IFERROR(AVERAGEIFS(Mesures!$I:$I,Mesures!$F:$F,$A54,Mesures!$C:$C,Z$40),"")</f>
        <v/>
      </c>
      <c r="AA54" s="3">
        <f>IFERROR(AVERAGEIFS(Mesures!$I:$I,Mesures!$F:$F,$A54,Mesures!$C:$C,AA$40),"")</f>
        <v/>
      </c>
      <c r="AB54" s="3">
        <f>IFERROR(AVERAGEIFS(Mesures!$I:$I,Mesures!$F:$F,$A54,Mesures!$C:$C,AB$40),"")</f>
        <v/>
      </c>
      <c r="AC54" s="3">
        <f>IFERROR(AVERAGEIFS(Mesures!$I:$I,Mesures!$F:$F,$A54,Mesures!$C:$C,AC$40),"")</f>
        <v/>
      </c>
      <c r="AD54" s="3">
        <f>IFERROR(AVERAGEIFS(Mesures!$I:$I,Mesures!$F:$F,$A54,Mesures!$C:$C,AD$40),"")</f>
        <v/>
      </c>
      <c r="AE54" s="3">
        <f>IFERROR(AVERAGEIFS(Mesures!$I:$I,Mesures!$F:$F,$A54,Mesures!$C:$C,AE$40),"")</f>
        <v/>
      </c>
      <c r="AF54" s="3">
        <f>IFERROR(AVERAGEIFS(Mesures!$I:$I,Mesures!$F:$F,$A54,Mesures!$C:$C,AF$40),"")</f>
        <v/>
      </c>
      <c r="AG54" s="3">
        <f>IFERROR(AVERAGEIFS(Mesures!$I:$I,Mesures!$F:$F,$A54,Mesures!$C:$C,AG$40),"")</f>
        <v/>
      </c>
      <c r="AH54" s="3">
        <f>IFERROR(AVERAGEIFS(Mesures!$I:$I,Mesures!$F:$F,$A54,Mesures!$C:$C,AH$40),"")</f>
        <v/>
      </c>
      <c r="AI54" s="3">
        <f>IFERROR(AVERAGEIFS(Mesures!$I:$I,Mesures!$F:$F,$A54,Mesures!$C:$C,AI$40),"")</f>
        <v/>
      </c>
      <c r="AJ54" s="3">
        <f>IFERROR(AVERAGEIFS(Mesures!$I:$I,Mesures!$F:$F,$A54,Mesures!$C:$C,AJ$40),"")</f>
        <v/>
      </c>
      <c r="AK54" s="3">
        <f>IFERROR(AVERAGEIFS(Mesures!$I:$I,Mesures!$F:$F,$A54,Mesures!$C:$C,AK$40),"")</f>
        <v/>
      </c>
      <c r="AL54" s="3">
        <f>IFERROR(AVERAGEIFS(Mesures!$I:$I,Mesures!$F:$F,$A54,Mesures!$C:$C,AL$40),"")</f>
        <v/>
      </c>
      <c r="AM54" s="3">
        <f>IFERROR(AVERAGEIFS(Mesures!$I:$I,Mesures!$F:$F,$A54,Mesures!$C:$C,AM$40),"")</f>
        <v/>
      </c>
      <c r="AN54" s="3">
        <f>IFERROR(AVERAGEIFS(Mesures!$I:$I,Mesures!$F:$F,$A54,Mesures!$C:$C,AN$40),"")</f>
        <v/>
      </c>
      <c r="AO54" s="3">
        <f>IFERROR(AVERAGEIFS(Mesures!$I:$I,Mesures!$F:$F,$A54,Mesures!$C:$C,AO$40),"")</f>
        <v/>
      </c>
      <c r="AP54" s="3">
        <f>IFERROR(AVERAGEIFS(Mesures!$I:$I,Mesures!$F:$F,$A54,Mesures!$C:$C,AP$40),"")</f>
        <v/>
      </c>
      <c r="AQ54" s="3">
        <f>IFERROR(AVERAGEIFS(Mesures!$I:$I,Mesures!$F:$F,$A54,Mesures!$C:$C,AQ$40),"")</f>
        <v/>
      </c>
      <c r="AR54" s="3">
        <f>IFERROR(AVERAGEIFS(Mesures!$I:$I,Mesures!$F:$F,$A54,Mesures!$C:$C,AR$40),"")</f>
        <v/>
      </c>
      <c r="AS54" s="3">
        <f>IFERROR(AVERAGEIFS(Mesures!$I:$I,Mesures!$F:$F,$A54,Mesures!$C:$C,AS$40),"")</f>
        <v/>
      </c>
      <c r="AT54" s="3">
        <f>IFERROR(AVERAGEIFS(Mesures!$I:$I,Mesures!$F:$F,$A54,Mesures!$C:$C,AT$40),"")</f>
        <v/>
      </c>
      <c r="AU54" s="3">
        <f>IFERROR(AVERAGEIFS(Mesures!$I:$I,Mesures!$F:$F,$A54,Mesures!$C:$C,AU$40),"")</f>
        <v/>
      </c>
      <c r="AV54" s="3">
        <f>IFERROR(AVERAGEIFS(Mesures!$I:$I,Mesures!$F:$F,$A54,Mesures!$C:$C,AV$40),"")</f>
        <v/>
      </c>
      <c r="AW54" s="3">
        <f>IFERROR(AVERAGEIFS(Mesures!$I:$I,Mesures!$F:$F,$A54,Mesures!$C:$C,AW$40),"")</f>
        <v/>
      </c>
      <c r="AX54" s="3">
        <f>IFERROR(AVERAGEIFS(Mesures!$I:$I,Mesures!$F:$F,$A54,Mesures!$C:$C,AX$40),"")</f>
        <v/>
      </c>
      <c r="AY54" s="3">
        <f>IFERROR(AVERAGEIFS(Mesures!$I:$I,Mesures!$F:$F,$A54,Mesures!$C:$C,AY$40),"")</f>
        <v/>
      </c>
      <c r="AZ54" s="3">
        <f>IFERROR(AVERAGEIFS(Mesures!$I:$I,Mesures!$F:$F,$A54,Mesures!$C:$C,AZ$40),"")</f>
        <v/>
      </c>
      <c r="BA54" s="3">
        <f>IFERROR(AVERAGEIFS(Mesures!$I:$I,Mesures!$F:$F,$A54,Mesures!$C:$C,BA$40),"")</f>
        <v/>
      </c>
      <c r="BB54" s="3">
        <f>IFERROR(AVERAGEIFS(Mesures!$I:$I,Mesures!$F:$F,$A54,Mesures!$C:$C,BB$40),"")</f>
        <v/>
      </c>
      <c r="BC54" s="3">
        <f>IFERROR(AVERAGEIFS(Mesures!$I:$I,Mesures!$F:$F,$A54,Mesures!$C:$C,BC$40),"")</f>
        <v/>
      </c>
      <c r="BD54" s="3">
        <f>IFERROR(AVERAGEIFS(Mesures!$I:$I,Mesures!$F:$F,$A54,Mesures!$C:$C,BD$40),"")</f>
        <v/>
      </c>
      <c r="BE54" s="3">
        <f>IFERROR(AVERAGEIFS(Mesures!$I:$I,Mesures!$F:$F,$A54,Mesures!$C:$C,BE$40),"")</f>
        <v/>
      </c>
      <c r="BF54" s="3">
        <f>IFERROR(AVERAGEIFS(Mesures!$I:$I,Mesures!$F:$F,$A54,Mesures!$C:$C,BF$40),"")</f>
        <v/>
      </c>
    </row>
    <row r="55">
      <c r="A55" s="2" t="inlineStr">
        <is>
          <t>sol mouille / public</t>
        </is>
      </c>
      <c r="B55" s="3">
        <f>IFERROR(AVERAGEIFS(Mesures!$I:$I,Mesures!$F:$F,$A55,Mesures!$C:$C,B$40),"")</f>
        <v/>
      </c>
      <c r="C55" s="3">
        <f>IFERROR(AVERAGEIFS(Mesures!$I:$I,Mesures!$F:$F,$A55,Mesures!$C:$C,C$40),"")</f>
        <v/>
      </c>
      <c r="D55" s="3">
        <f>IFERROR(AVERAGEIFS(Mesures!$I:$I,Mesures!$F:$F,$A55,Mesures!$C:$C,D$40),"")</f>
        <v/>
      </c>
      <c r="E55" s="3">
        <f>IFERROR(AVERAGEIFS(Mesures!$I:$I,Mesures!$F:$F,$A55,Mesures!$C:$C,E$40),"")</f>
        <v/>
      </c>
      <c r="F55" s="3">
        <f>IFERROR(AVERAGEIFS(Mesures!$I:$I,Mesures!$F:$F,$A55,Mesures!$C:$C,F$40),"")</f>
        <v/>
      </c>
      <c r="G55" s="3">
        <f>IFERROR(AVERAGEIFS(Mesures!$I:$I,Mesures!$F:$F,$A55,Mesures!$C:$C,G$40),"")</f>
        <v/>
      </c>
      <c r="H55" s="3">
        <f>IFERROR(AVERAGEIFS(Mesures!$I:$I,Mesures!$F:$F,$A55,Mesures!$C:$C,H$40),"")</f>
        <v/>
      </c>
      <c r="I55" s="3">
        <f>IFERROR(AVERAGEIFS(Mesures!$I:$I,Mesures!$F:$F,$A55,Mesures!$C:$C,I$40),"")</f>
        <v/>
      </c>
      <c r="J55" s="3">
        <f>IFERROR(AVERAGEIFS(Mesures!$I:$I,Mesures!$F:$F,$A55,Mesures!$C:$C,J$40),"")</f>
        <v/>
      </c>
      <c r="K55" s="3">
        <f>IFERROR(AVERAGEIFS(Mesures!$I:$I,Mesures!$F:$F,$A55,Mesures!$C:$C,K$40),"")</f>
        <v/>
      </c>
      <c r="L55" s="3">
        <f>IFERROR(AVERAGEIFS(Mesures!$I:$I,Mesures!$F:$F,$A55,Mesures!$C:$C,L$40),"")</f>
        <v/>
      </c>
      <c r="M55" s="3">
        <f>IFERROR(AVERAGEIFS(Mesures!$I:$I,Mesures!$F:$F,$A55,Mesures!$C:$C,M$40),"")</f>
        <v/>
      </c>
      <c r="N55" s="3">
        <f>IFERROR(AVERAGEIFS(Mesures!$I:$I,Mesures!$F:$F,$A55,Mesures!$C:$C,N$40),"")</f>
        <v/>
      </c>
      <c r="O55" s="3">
        <f>IFERROR(AVERAGEIFS(Mesures!$I:$I,Mesures!$F:$F,$A55,Mesures!$C:$C,O$40),"")</f>
        <v/>
      </c>
      <c r="P55" s="3">
        <f>IFERROR(AVERAGEIFS(Mesures!$I:$I,Mesures!$F:$F,$A55,Mesures!$C:$C,P$40),"")</f>
        <v/>
      </c>
      <c r="Q55" s="3">
        <f>IFERROR(AVERAGEIFS(Mesures!$I:$I,Mesures!$F:$F,$A55,Mesures!$C:$C,Q$40),"")</f>
        <v/>
      </c>
      <c r="R55" s="3">
        <f>IFERROR(AVERAGEIFS(Mesures!$I:$I,Mesures!$F:$F,$A55,Mesures!$C:$C,R$40),"")</f>
        <v/>
      </c>
      <c r="S55" s="3">
        <f>IFERROR(AVERAGEIFS(Mesures!$I:$I,Mesures!$F:$F,$A55,Mesures!$C:$C,S$40),"")</f>
        <v/>
      </c>
      <c r="T55" s="3">
        <f>IFERROR(AVERAGEIFS(Mesures!$I:$I,Mesures!$F:$F,$A55,Mesures!$C:$C,T$40),"")</f>
        <v/>
      </c>
      <c r="U55" s="3">
        <f>IFERROR(AVERAGEIFS(Mesures!$I:$I,Mesures!$F:$F,$A55,Mesures!$C:$C,U$40),"")</f>
        <v/>
      </c>
      <c r="V55" s="3">
        <f>IFERROR(AVERAGEIFS(Mesures!$I:$I,Mesures!$F:$F,$A55,Mesures!$C:$C,V$40),"")</f>
        <v/>
      </c>
      <c r="W55" s="3">
        <f>IFERROR(AVERAGEIFS(Mesures!$I:$I,Mesures!$F:$F,$A55,Mesures!$C:$C,W$40),"")</f>
        <v/>
      </c>
      <c r="X55" s="3">
        <f>IFERROR(AVERAGEIFS(Mesures!$I:$I,Mesures!$F:$F,$A55,Mesures!$C:$C,X$40),"")</f>
        <v/>
      </c>
      <c r="Y55" s="3">
        <f>IFERROR(AVERAGEIFS(Mesures!$I:$I,Mesures!$F:$F,$A55,Mesures!$C:$C,Y$40),"")</f>
        <v/>
      </c>
      <c r="Z55" s="3">
        <f>IFERROR(AVERAGEIFS(Mesures!$I:$I,Mesures!$F:$F,$A55,Mesures!$C:$C,Z$40),"")</f>
        <v/>
      </c>
      <c r="AA55" s="3">
        <f>IFERROR(AVERAGEIFS(Mesures!$I:$I,Mesures!$F:$F,$A55,Mesures!$C:$C,AA$40),"")</f>
        <v/>
      </c>
      <c r="AB55" s="3">
        <f>IFERROR(AVERAGEIFS(Mesures!$I:$I,Mesures!$F:$F,$A55,Mesures!$C:$C,AB$40),"")</f>
        <v/>
      </c>
      <c r="AC55" s="3">
        <f>IFERROR(AVERAGEIFS(Mesures!$I:$I,Mesures!$F:$F,$A55,Mesures!$C:$C,AC$40),"")</f>
        <v/>
      </c>
      <c r="AD55" s="3">
        <f>IFERROR(AVERAGEIFS(Mesures!$I:$I,Mesures!$F:$F,$A55,Mesures!$C:$C,AD$40),"")</f>
        <v/>
      </c>
      <c r="AE55" s="3">
        <f>IFERROR(AVERAGEIFS(Mesures!$I:$I,Mesures!$F:$F,$A55,Mesures!$C:$C,AE$40),"")</f>
        <v/>
      </c>
      <c r="AF55" s="3">
        <f>IFERROR(AVERAGEIFS(Mesures!$I:$I,Mesures!$F:$F,$A55,Mesures!$C:$C,AF$40),"")</f>
        <v/>
      </c>
      <c r="AG55" s="3">
        <f>IFERROR(AVERAGEIFS(Mesures!$I:$I,Mesures!$F:$F,$A55,Mesures!$C:$C,AG$40),"")</f>
        <v/>
      </c>
      <c r="AH55" s="3">
        <f>IFERROR(AVERAGEIFS(Mesures!$I:$I,Mesures!$F:$F,$A55,Mesures!$C:$C,AH$40),"")</f>
        <v/>
      </c>
      <c r="AI55" s="3">
        <f>IFERROR(AVERAGEIFS(Mesures!$I:$I,Mesures!$F:$F,$A55,Mesures!$C:$C,AI$40),"")</f>
        <v/>
      </c>
      <c r="AJ55" s="3">
        <f>IFERROR(AVERAGEIFS(Mesures!$I:$I,Mesures!$F:$F,$A55,Mesures!$C:$C,AJ$40),"")</f>
        <v/>
      </c>
      <c r="AK55" s="3">
        <f>IFERROR(AVERAGEIFS(Mesures!$I:$I,Mesures!$F:$F,$A55,Mesures!$C:$C,AK$40),"")</f>
        <v/>
      </c>
      <c r="AL55" s="3">
        <f>IFERROR(AVERAGEIFS(Mesures!$I:$I,Mesures!$F:$F,$A55,Mesures!$C:$C,AL$40),"")</f>
        <v/>
      </c>
      <c r="AM55" s="3">
        <f>IFERROR(AVERAGEIFS(Mesures!$I:$I,Mesures!$F:$F,$A55,Mesures!$C:$C,AM$40),"")</f>
        <v/>
      </c>
      <c r="AN55" s="3">
        <f>IFERROR(AVERAGEIFS(Mesures!$I:$I,Mesures!$F:$F,$A55,Mesures!$C:$C,AN$40),"")</f>
        <v/>
      </c>
      <c r="AO55" s="3">
        <f>IFERROR(AVERAGEIFS(Mesures!$I:$I,Mesures!$F:$F,$A55,Mesures!$C:$C,AO$40),"")</f>
        <v/>
      </c>
      <c r="AP55" s="3">
        <f>IFERROR(AVERAGEIFS(Mesures!$I:$I,Mesures!$F:$F,$A55,Mesures!$C:$C,AP$40),"")</f>
        <v/>
      </c>
      <c r="AQ55" s="3">
        <f>IFERROR(AVERAGEIFS(Mesures!$I:$I,Mesures!$F:$F,$A55,Mesures!$C:$C,AQ$40),"")</f>
        <v/>
      </c>
      <c r="AR55" s="3">
        <f>IFERROR(AVERAGEIFS(Mesures!$I:$I,Mesures!$F:$F,$A55,Mesures!$C:$C,AR$40),"")</f>
        <v/>
      </c>
      <c r="AS55" s="3">
        <f>IFERROR(AVERAGEIFS(Mesures!$I:$I,Mesures!$F:$F,$A55,Mesures!$C:$C,AS$40),"")</f>
        <v/>
      </c>
      <c r="AT55" s="3">
        <f>IFERROR(AVERAGEIFS(Mesures!$I:$I,Mesures!$F:$F,$A55,Mesures!$C:$C,AT$40),"")</f>
        <v/>
      </c>
      <c r="AU55" s="3">
        <f>IFERROR(AVERAGEIFS(Mesures!$I:$I,Mesures!$F:$F,$A55,Mesures!$C:$C,AU$40),"")</f>
        <v/>
      </c>
      <c r="AV55" s="3">
        <f>IFERROR(AVERAGEIFS(Mesures!$I:$I,Mesures!$F:$F,$A55,Mesures!$C:$C,AV$40),"")</f>
        <v/>
      </c>
      <c r="AW55" s="3">
        <f>IFERROR(AVERAGEIFS(Mesures!$I:$I,Mesures!$F:$F,$A55,Mesures!$C:$C,AW$40),"")</f>
        <v/>
      </c>
      <c r="AX55" s="3">
        <f>IFERROR(AVERAGEIFS(Mesures!$I:$I,Mesures!$F:$F,$A55,Mesures!$C:$C,AX$40),"")</f>
        <v/>
      </c>
      <c r="AY55" s="3">
        <f>IFERROR(AVERAGEIFS(Mesures!$I:$I,Mesures!$F:$F,$A55,Mesures!$C:$C,AY$40),"")</f>
        <v/>
      </c>
      <c r="AZ55" s="3">
        <f>IFERROR(AVERAGEIFS(Mesures!$I:$I,Mesures!$F:$F,$A55,Mesures!$C:$C,AZ$40),"")</f>
        <v/>
      </c>
      <c r="BA55" s="3">
        <f>IFERROR(AVERAGEIFS(Mesures!$I:$I,Mesures!$F:$F,$A55,Mesures!$C:$C,BA$40),"")</f>
        <v/>
      </c>
      <c r="BB55" s="3">
        <f>IFERROR(AVERAGEIFS(Mesures!$I:$I,Mesures!$F:$F,$A55,Mesures!$C:$C,BB$40),"")</f>
        <v/>
      </c>
      <c r="BC55" s="3">
        <f>IFERROR(AVERAGEIFS(Mesures!$I:$I,Mesures!$F:$F,$A55,Mesures!$C:$C,BC$40),"")</f>
        <v/>
      </c>
      <c r="BD55" s="3">
        <f>IFERROR(AVERAGEIFS(Mesures!$I:$I,Mesures!$F:$F,$A55,Mesures!$C:$C,BD$40),"")</f>
        <v/>
      </c>
      <c r="BE55" s="3">
        <f>IFERROR(AVERAGEIFS(Mesures!$I:$I,Mesures!$F:$F,$A55,Mesures!$C:$C,BE$40),"")</f>
        <v/>
      </c>
      <c r="BF55" s="3">
        <f>IFERROR(AVERAGEIFS(Mesures!$I:$I,Mesures!$F:$F,$A55,Mesures!$C:$C,BF$40),"")</f>
        <v/>
      </c>
    </row>
    <row r="56">
      <c r="A56" s="2" t="inlineStr">
        <is>
          <t>sol mouille + gobo + prisme 8 / scene</t>
        </is>
      </c>
      <c r="B56" s="3">
        <f>IFERROR(AVERAGEIFS(Mesures!$I:$I,Mesures!$F:$F,$A56,Mesures!$C:$C,B$40),"")</f>
        <v/>
      </c>
      <c r="C56" s="3">
        <f>IFERROR(AVERAGEIFS(Mesures!$I:$I,Mesures!$F:$F,$A56,Mesures!$C:$C,C$40),"")</f>
        <v/>
      </c>
      <c r="D56" s="3">
        <f>IFERROR(AVERAGEIFS(Mesures!$I:$I,Mesures!$F:$F,$A56,Mesures!$C:$C,D$40),"")</f>
        <v/>
      </c>
      <c r="E56" s="3">
        <f>IFERROR(AVERAGEIFS(Mesures!$I:$I,Mesures!$F:$F,$A56,Mesures!$C:$C,E$40),"")</f>
        <v/>
      </c>
      <c r="F56" s="3">
        <f>IFERROR(AVERAGEIFS(Mesures!$I:$I,Mesures!$F:$F,$A56,Mesures!$C:$C,F$40),"")</f>
        <v/>
      </c>
      <c r="G56" s="3">
        <f>IFERROR(AVERAGEIFS(Mesures!$I:$I,Mesures!$F:$F,$A56,Mesures!$C:$C,G$40),"")</f>
        <v/>
      </c>
      <c r="H56" s="3">
        <f>IFERROR(AVERAGEIFS(Mesures!$I:$I,Mesures!$F:$F,$A56,Mesures!$C:$C,H$40),"")</f>
        <v/>
      </c>
      <c r="I56" s="3">
        <f>IFERROR(AVERAGEIFS(Mesures!$I:$I,Mesures!$F:$F,$A56,Mesures!$C:$C,I$40),"")</f>
        <v/>
      </c>
      <c r="J56" s="3">
        <f>IFERROR(AVERAGEIFS(Mesures!$I:$I,Mesures!$F:$F,$A56,Mesures!$C:$C,J$40),"")</f>
        <v/>
      </c>
      <c r="K56" s="3">
        <f>IFERROR(AVERAGEIFS(Mesures!$I:$I,Mesures!$F:$F,$A56,Mesures!$C:$C,K$40),"")</f>
        <v/>
      </c>
      <c r="L56" s="3">
        <f>IFERROR(AVERAGEIFS(Mesures!$I:$I,Mesures!$F:$F,$A56,Mesures!$C:$C,L$40),"")</f>
        <v/>
      </c>
      <c r="M56" s="3">
        <f>IFERROR(AVERAGEIFS(Mesures!$I:$I,Mesures!$F:$F,$A56,Mesures!$C:$C,M$40),"")</f>
        <v/>
      </c>
      <c r="N56" s="3">
        <f>IFERROR(AVERAGEIFS(Mesures!$I:$I,Mesures!$F:$F,$A56,Mesures!$C:$C,N$40),"")</f>
        <v/>
      </c>
      <c r="O56" s="3">
        <f>IFERROR(AVERAGEIFS(Mesures!$I:$I,Mesures!$F:$F,$A56,Mesures!$C:$C,O$40),"")</f>
        <v/>
      </c>
      <c r="P56" s="3">
        <f>IFERROR(AVERAGEIFS(Mesures!$I:$I,Mesures!$F:$F,$A56,Mesures!$C:$C,P$40),"")</f>
        <v/>
      </c>
      <c r="Q56" s="3">
        <f>IFERROR(AVERAGEIFS(Mesures!$I:$I,Mesures!$F:$F,$A56,Mesures!$C:$C,Q$40),"")</f>
        <v/>
      </c>
      <c r="R56" s="3">
        <f>IFERROR(AVERAGEIFS(Mesures!$I:$I,Mesures!$F:$F,$A56,Mesures!$C:$C,R$40),"")</f>
        <v/>
      </c>
      <c r="S56" s="3">
        <f>IFERROR(AVERAGEIFS(Mesures!$I:$I,Mesures!$F:$F,$A56,Mesures!$C:$C,S$40),"")</f>
        <v/>
      </c>
      <c r="T56" s="3">
        <f>IFERROR(AVERAGEIFS(Mesures!$I:$I,Mesures!$F:$F,$A56,Mesures!$C:$C,T$40),"")</f>
        <v/>
      </c>
      <c r="U56" s="3">
        <f>IFERROR(AVERAGEIFS(Mesures!$I:$I,Mesures!$F:$F,$A56,Mesures!$C:$C,U$40),"")</f>
        <v/>
      </c>
      <c r="V56" s="3">
        <f>IFERROR(AVERAGEIFS(Mesures!$I:$I,Mesures!$F:$F,$A56,Mesures!$C:$C,V$40),"")</f>
        <v/>
      </c>
      <c r="W56" s="3">
        <f>IFERROR(AVERAGEIFS(Mesures!$I:$I,Mesures!$F:$F,$A56,Mesures!$C:$C,W$40),"")</f>
        <v/>
      </c>
      <c r="X56" s="3">
        <f>IFERROR(AVERAGEIFS(Mesures!$I:$I,Mesures!$F:$F,$A56,Mesures!$C:$C,X$40),"")</f>
        <v/>
      </c>
      <c r="Y56" s="3">
        <f>IFERROR(AVERAGEIFS(Mesures!$I:$I,Mesures!$F:$F,$A56,Mesures!$C:$C,Y$40),"")</f>
        <v/>
      </c>
      <c r="Z56" s="3">
        <f>IFERROR(AVERAGEIFS(Mesures!$I:$I,Mesures!$F:$F,$A56,Mesures!$C:$C,Z$40),"")</f>
        <v/>
      </c>
      <c r="AA56" s="3">
        <f>IFERROR(AVERAGEIFS(Mesures!$I:$I,Mesures!$F:$F,$A56,Mesures!$C:$C,AA$40),"")</f>
        <v/>
      </c>
      <c r="AB56" s="3">
        <f>IFERROR(AVERAGEIFS(Mesures!$I:$I,Mesures!$F:$F,$A56,Mesures!$C:$C,AB$40),"")</f>
        <v/>
      </c>
      <c r="AC56" s="3">
        <f>IFERROR(AVERAGEIFS(Mesures!$I:$I,Mesures!$F:$F,$A56,Mesures!$C:$C,AC$40),"")</f>
        <v/>
      </c>
      <c r="AD56" s="3">
        <f>IFERROR(AVERAGEIFS(Mesures!$I:$I,Mesures!$F:$F,$A56,Mesures!$C:$C,AD$40),"")</f>
        <v/>
      </c>
      <c r="AE56" s="3">
        <f>IFERROR(AVERAGEIFS(Mesures!$I:$I,Mesures!$F:$F,$A56,Mesures!$C:$C,AE$40),"")</f>
        <v/>
      </c>
      <c r="AF56" s="3">
        <f>IFERROR(AVERAGEIFS(Mesures!$I:$I,Mesures!$F:$F,$A56,Mesures!$C:$C,AF$40),"")</f>
        <v/>
      </c>
      <c r="AG56" s="3">
        <f>IFERROR(AVERAGEIFS(Mesures!$I:$I,Mesures!$F:$F,$A56,Mesures!$C:$C,AG$40),"")</f>
        <v/>
      </c>
      <c r="AH56" s="3">
        <f>IFERROR(AVERAGEIFS(Mesures!$I:$I,Mesures!$F:$F,$A56,Mesures!$C:$C,AH$40),"")</f>
        <v/>
      </c>
      <c r="AI56" s="3">
        <f>IFERROR(AVERAGEIFS(Mesures!$I:$I,Mesures!$F:$F,$A56,Mesures!$C:$C,AI$40),"")</f>
        <v/>
      </c>
      <c r="AJ56" s="3">
        <f>IFERROR(AVERAGEIFS(Mesures!$I:$I,Mesures!$F:$F,$A56,Mesures!$C:$C,AJ$40),"")</f>
        <v/>
      </c>
      <c r="AK56" s="3">
        <f>IFERROR(AVERAGEIFS(Mesures!$I:$I,Mesures!$F:$F,$A56,Mesures!$C:$C,AK$40),"")</f>
        <v/>
      </c>
      <c r="AL56" s="3">
        <f>IFERROR(AVERAGEIFS(Mesures!$I:$I,Mesures!$F:$F,$A56,Mesures!$C:$C,AL$40),"")</f>
        <v/>
      </c>
      <c r="AM56" s="3">
        <f>IFERROR(AVERAGEIFS(Mesures!$I:$I,Mesures!$F:$F,$A56,Mesures!$C:$C,AM$40),"")</f>
        <v/>
      </c>
      <c r="AN56" s="3">
        <f>IFERROR(AVERAGEIFS(Mesures!$I:$I,Mesures!$F:$F,$A56,Mesures!$C:$C,AN$40),"")</f>
        <v/>
      </c>
      <c r="AO56" s="3">
        <f>IFERROR(AVERAGEIFS(Mesures!$I:$I,Mesures!$F:$F,$A56,Mesures!$C:$C,AO$40),"")</f>
        <v/>
      </c>
      <c r="AP56" s="3">
        <f>IFERROR(AVERAGEIFS(Mesures!$I:$I,Mesures!$F:$F,$A56,Mesures!$C:$C,AP$40),"")</f>
        <v/>
      </c>
      <c r="AQ56" s="3">
        <f>IFERROR(AVERAGEIFS(Mesures!$I:$I,Mesures!$F:$F,$A56,Mesures!$C:$C,AQ$40),"")</f>
        <v/>
      </c>
      <c r="AR56" s="3">
        <f>IFERROR(AVERAGEIFS(Mesures!$I:$I,Mesures!$F:$F,$A56,Mesures!$C:$C,AR$40),"")</f>
        <v/>
      </c>
      <c r="AS56" s="3">
        <f>IFERROR(AVERAGEIFS(Mesures!$I:$I,Mesures!$F:$F,$A56,Mesures!$C:$C,AS$40),"")</f>
        <v/>
      </c>
      <c r="AT56" s="3">
        <f>IFERROR(AVERAGEIFS(Mesures!$I:$I,Mesures!$F:$F,$A56,Mesures!$C:$C,AT$40),"")</f>
        <v/>
      </c>
      <c r="AU56" s="3">
        <f>IFERROR(AVERAGEIFS(Mesures!$I:$I,Mesures!$F:$F,$A56,Mesures!$C:$C,AU$40),"")</f>
        <v/>
      </c>
      <c r="AV56" s="3">
        <f>IFERROR(AVERAGEIFS(Mesures!$I:$I,Mesures!$F:$F,$A56,Mesures!$C:$C,AV$40),"")</f>
        <v/>
      </c>
      <c r="AW56" s="3">
        <f>IFERROR(AVERAGEIFS(Mesures!$I:$I,Mesures!$F:$F,$A56,Mesures!$C:$C,AW$40),"")</f>
        <v/>
      </c>
      <c r="AX56" s="3">
        <f>IFERROR(AVERAGEIFS(Mesures!$I:$I,Mesures!$F:$F,$A56,Mesures!$C:$C,AX$40),"")</f>
        <v/>
      </c>
      <c r="AY56" s="3">
        <f>IFERROR(AVERAGEIFS(Mesures!$I:$I,Mesures!$F:$F,$A56,Mesures!$C:$C,AY$40),"")</f>
        <v/>
      </c>
      <c r="AZ56" s="3">
        <f>IFERROR(AVERAGEIFS(Mesures!$I:$I,Mesures!$F:$F,$A56,Mesures!$C:$C,AZ$40),"")</f>
        <v/>
      </c>
      <c r="BA56" s="3">
        <f>IFERROR(AVERAGEIFS(Mesures!$I:$I,Mesures!$F:$F,$A56,Mesures!$C:$C,BA$40),"")</f>
        <v/>
      </c>
      <c r="BB56" s="3">
        <f>IFERROR(AVERAGEIFS(Mesures!$I:$I,Mesures!$F:$F,$A56,Mesures!$C:$C,BB$40),"")</f>
        <v/>
      </c>
      <c r="BC56" s="3">
        <f>IFERROR(AVERAGEIFS(Mesures!$I:$I,Mesures!$F:$F,$A56,Mesures!$C:$C,BC$40),"")</f>
        <v/>
      </c>
      <c r="BD56" s="3">
        <f>IFERROR(AVERAGEIFS(Mesures!$I:$I,Mesures!$F:$F,$A56,Mesures!$C:$C,BD$40),"")</f>
        <v/>
      </c>
      <c r="BE56" s="3">
        <f>IFERROR(AVERAGEIFS(Mesures!$I:$I,Mesures!$F:$F,$A56,Mesures!$C:$C,BE$40),"")</f>
        <v/>
      </c>
      <c r="BF56" s="3">
        <f>IFERROR(AVERAGEIFS(Mesures!$I:$I,Mesures!$F:$F,$A56,Mesures!$C:$C,BF$40),"")</f>
        <v/>
      </c>
    </row>
    <row r="57">
      <c r="A57" s="2" t="inlineStr">
        <is>
          <t>L1 eventails 200 x 1000 traits / public</t>
        </is>
      </c>
      <c r="B57" s="3">
        <f>IFERROR(AVERAGEIFS(Mesures!$I:$I,Mesures!$F:$F,$A57,Mesures!$C:$C,B$40),"")</f>
        <v/>
      </c>
      <c r="C57" s="3">
        <f>IFERROR(AVERAGEIFS(Mesures!$I:$I,Mesures!$F:$F,$A57,Mesures!$C:$C,C$40),"")</f>
        <v/>
      </c>
      <c r="D57" s="3">
        <f>IFERROR(AVERAGEIFS(Mesures!$I:$I,Mesures!$F:$F,$A57,Mesures!$C:$C,D$40),"")</f>
        <v/>
      </c>
      <c r="E57" s="3">
        <f>IFERROR(AVERAGEIFS(Mesures!$I:$I,Mesures!$F:$F,$A57,Mesures!$C:$C,E$40),"")</f>
        <v/>
      </c>
      <c r="F57" s="3">
        <f>IFERROR(AVERAGEIFS(Mesures!$I:$I,Mesures!$F:$F,$A57,Mesures!$C:$C,F$40),"")</f>
        <v/>
      </c>
      <c r="G57" s="3">
        <f>IFERROR(AVERAGEIFS(Mesures!$I:$I,Mesures!$F:$F,$A57,Mesures!$C:$C,G$40),"")</f>
        <v/>
      </c>
      <c r="H57" s="3">
        <f>IFERROR(AVERAGEIFS(Mesures!$I:$I,Mesures!$F:$F,$A57,Mesures!$C:$C,H$40),"")</f>
        <v/>
      </c>
      <c r="I57" s="3">
        <f>IFERROR(AVERAGEIFS(Mesures!$I:$I,Mesures!$F:$F,$A57,Mesures!$C:$C,I$40),"")</f>
        <v/>
      </c>
      <c r="J57" s="3">
        <f>IFERROR(AVERAGEIFS(Mesures!$I:$I,Mesures!$F:$F,$A57,Mesures!$C:$C,J$40),"")</f>
        <v/>
      </c>
      <c r="K57" s="3">
        <f>IFERROR(AVERAGEIFS(Mesures!$I:$I,Mesures!$F:$F,$A57,Mesures!$C:$C,K$40),"")</f>
        <v/>
      </c>
      <c r="L57" s="3">
        <f>IFERROR(AVERAGEIFS(Mesures!$I:$I,Mesures!$F:$F,$A57,Mesures!$C:$C,L$40),"")</f>
        <v/>
      </c>
      <c r="M57" s="3">
        <f>IFERROR(AVERAGEIFS(Mesures!$I:$I,Mesures!$F:$F,$A57,Mesures!$C:$C,M$40),"")</f>
        <v/>
      </c>
      <c r="N57" s="3">
        <f>IFERROR(AVERAGEIFS(Mesures!$I:$I,Mesures!$F:$F,$A57,Mesures!$C:$C,N$40),"")</f>
        <v/>
      </c>
      <c r="O57" s="3">
        <f>IFERROR(AVERAGEIFS(Mesures!$I:$I,Mesures!$F:$F,$A57,Mesures!$C:$C,O$40),"")</f>
        <v/>
      </c>
      <c r="P57" s="3">
        <f>IFERROR(AVERAGEIFS(Mesures!$I:$I,Mesures!$F:$F,$A57,Mesures!$C:$C,P$40),"")</f>
        <v/>
      </c>
      <c r="Q57" s="3">
        <f>IFERROR(AVERAGEIFS(Mesures!$I:$I,Mesures!$F:$F,$A57,Mesures!$C:$C,Q$40),"")</f>
        <v/>
      </c>
      <c r="R57" s="3">
        <f>IFERROR(AVERAGEIFS(Mesures!$I:$I,Mesures!$F:$F,$A57,Mesures!$C:$C,R$40),"")</f>
        <v/>
      </c>
      <c r="S57" s="3">
        <f>IFERROR(AVERAGEIFS(Mesures!$I:$I,Mesures!$F:$F,$A57,Mesures!$C:$C,S$40),"")</f>
        <v/>
      </c>
      <c r="T57" s="3">
        <f>IFERROR(AVERAGEIFS(Mesures!$I:$I,Mesures!$F:$F,$A57,Mesures!$C:$C,T$40),"")</f>
        <v/>
      </c>
      <c r="U57" s="3">
        <f>IFERROR(AVERAGEIFS(Mesures!$I:$I,Mesures!$F:$F,$A57,Mesures!$C:$C,U$40),"")</f>
        <v/>
      </c>
      <c r="V57" s="3">
        <f>IFERROR(AVERAGEIFS(Mesures!$I:$I,Mesures!$F:$F,$A57,Mesures!$C:$C,V$40),"")</f>
        <v/>
      </c>
      <c r="W57" s="3">
        <f>IFERROR(AVERAGEIFS(Mesures!$I:$I,Mesures!$F:$F,$A57,Mesures!$C:$C,W$40),"")</f>
        <v/>
      </c>
      <c r="X57" s="3">
        <f>IFERROR(AVERAGEIFS(Mesures!$I:$I,Mesures!$F:$F,$A57,Mesures!$C:$C,X$40),"")</f>
        <v/>
      </c>
      <c r="Y57" s="3">
        <f>IFERROR(AVERAGEIFS(Mesures!$I:$I,Mesures!$F:$F,$A57,Mesures!$C:$C,Y$40),"")</f>
        <v/>
      </c>
      <c r="Z57" s="3">
        <f>IFERROR(AVERAGEIFS(Mesures!$I:$I,Mesures!$F:$F,$A57,Mesures!$C:$C,Z$40),"")</f>
        <v/>
      </c>
      <c r="AA57" s="3">
        <f>IFERROR(AVERAGEIFS(Mesures!$I:$I,Mesures!$F:$F,$A57,Mesures!$C:$C,AA$40),"")</f>
        <v/>
      </c>
      <c r="AB57" s="3">
        <f>IFERROR(AVERAGEIFS(Mesures!$I:$I,Mesures!$F:$F,$A57,Mesures!$C:$C,AB$40),"")</f>
        <v/>
      </c>
      <c r="AC57" s="3">
        <f>IFERROR(AVERAGEIFS(Mesures!$I:$I,Mesures!$F:$F,$A57,Mesures!$C:$C,AC$40),"")</f>
        <v/>
      </c>
      <c r="AD57" s="3">
        <f>IFERROR(AVERAGEIFS(Mesures!$I:$I,Mesures!$F:$F,$A57,Mesures!$C:$C,AD$40),"")</f>
        <v/>
      </c>
      <c r="AE57" s="3">
        <f>IFERROR(AVERAGEIFS(Mesures!$I:$I,Mesures!$F:$F,$A57,Mesures!$C:$C,AE$40),"")</f>
        <v/>
      </c>
      <c r="AF57" s="3">
        <f>IFERROR(AVERAGEIFS(Mesures!$I:$I,Mesures!$F:$F,$A57,Mesures!$C:$C,AF$40),"")</f>
        <v/>
      </c>
      <c r="AG57" s="3">
        <f>IFERROR(AVERAGEIFS(Mesures!$I:$I,Mesures!$F:$F,$A57,Mesures!$C:$C,AG$40),"")</f>
        <v/>
      </c>
      <c r="AH57" s="3">
        <f>IFERROR(AVERAGEIFS(Mesures!$I:$I,Mesures!$F:$F,$A57,Mesures!$C:$C,AH$40),"")</f>
        <v/>
      </c>
      <c r="AI57" s="3">
        <f>IFERROR(AVERAGEIFS(Mesures!$I:$I,Mesures!$F:$F,$A57,Mesures!$C:$C,AI$40),"")</f>
        <v/>
      </c>
      <c r="AJ57" s="3">
        <f>IFERROR(AVERAGEIFS(Mesures!$I:$I,Mesures!$F:$F,$A57,Mesures!$C:$C,AJ$40),"")</f>
        <v/>
      </c>
      <c r="AK57" s="3">
        <f>IFERROR(AVERAGEIFS(Mesures!$I:$I,Mesures!$F:$F,$A57,Mesures!$C:$C,AK$40),"")</f>
        <v/>
      </c>
      <c r="AL57" s="3">
        <f>IFERROR(AVERAGEIFS(Mesures!$I:$I,Mesures!$F:$F,$A57,Mesures!$C:$C,AL$40),"")</f>
        <v/>
      </c>
      <c r="AM57" s="3">
        <f>IFERROR(AVERAGEIFS(Mesures!$I:$I,Mesures!$F:$F,$A57,Mesures!$C:$C,AM$40),"")</f>
        <v/>
      </c>
      <c r="AN57" s="3">
        <f>IFERROR(AVERAGEIFS(Mesures!$I:$I,Mesures!$F:$F,$A57,Mesures!$C:$C,AN$40),"")</f>
        <v/>
      </c>
      <c r="AO57" s="3">
        <f>IFERROR(AVERAGEIFS(Mesures!$I:$I,Mesures!$F:$F,$A57,Mesures!$C:$C,AO$40),"")</f>
        <v/>
      </c>
      <c r="AP57" s="3">
        <f>IFERROR(AVERAGEIFS(Mesures!$I:$I,Mesures!$F:$F,$A57,Mesures!$C:$C,AP$40),"")</f>
        <v/>
      </c>
      <c r="AQ57" s="3">
        <f>IFERROR(AVERAGEIFS(Mesures!$I:$I,Mesures!$F:$F,$A57,Mesures!$C:$C,AQ$40),"")</f>
        <v/>
      </c>
      <c r="AR57" s="3">
        <f>IFERROR(AVERAGEIFS(Mesures!$I:$I,Mesures!$F:$F,$A57,Mesures!$C:$C,AR$40),"")</f>
        <v/>
      </c>
      <c r="AS57" s="3">
        <f>IFERROR(AVERAGEIFS(Mesures!$I:$I,Mesures!$F:$F,$A57,Mesures!$C:$C,AS$40),"")</f>
        <v/>
      </c>
      <c r="AT57" s="3">
        <f>IFERROR(AVERAGEIFS(Mesures!$I:$I,Mesures!$F:$F,$A57,Mesures!$C:$C,AT$40),"")</f>
        <v/>
      </c>
      <c r="AU57" s="3">
        <f>IFERROR(AVERAGEIFS(Mesures!$I:$I,Mesures!$F:$F,$A57,Mesures!$C:$C,AU$40),"")</f>
        <v/>
      </c>
      <c r="AV57" s="3">
        <f>IFERROR(AVERAGEIFS(Mesures!$I:$I,Mesures!$F:$F,$A57,Mesures!$C:$C,AV$40),"")</f>
        <v/>
      </c>
      <c r="AW57" s="3">
        <f>IFERROR(AVERAGEIFS(Mesures!$I:$I,Mesures!$F:$F,$A57,Mesures!$C:$C,AW$40),"")</f>
        <v/>
      </c>
      <c r="AX57" s="3">
        <f>IFERROR(AVERAGEIFS(Mesures!$I:$I,Mesures!$F:$F,$A57,Mesures!$C:$C,AX$40),"")</f>
        <v/>
      </c>
      <c r="AY57" s="3">
        <f>IFERROR(AVERAGEIFS(Mesures!$I:$I,Mesures!$F:$F,$A57,Mesures!$C:$C,AY$40),"")</f>
        <v/>
      </c>
      <c r="AZ57" s="3">
        <f>IFERROR(AVERAGEIFS(Mesures!$I:$I,Mesures!$F:$F,$A57,Mesures!$C:$C,AZ$40),"")</f>
        <v/>
      </c>
      <c r="BA57" s="3">
        <f>IFERROR(AVERAGEIFS(Mesures!$I:$I,Mesures!$F:$F,$A57,Mesures!$C:$C,BA$40),"")</f>
        <v/>
      </c>
      <c r="BB57" s="3">
        <f>IFERROR(AVERAGEIFS(Mesures!$I:$I,Mesures!$F:$F,$A57,Mesures!$C:$C,BB$40),"")</f>
        <v/>
      </c>
      <c r="BC57" s="3">
        <f>IFERROR(AVERAGEIFS(Mesures!$I:$I,Mesures!$F:$F,$A57,Mesures!$C:$C,BC$40),"")</f>
        <v/>
      </c>
      <c r="BD57" s="3">
        <f>IFERROR(AVERAGEIFS(Mesures!$I:$I,Mesures!$F:$F,$A57,Mesures!$C:$C,BD$40),"")</f>
        <v/>
      </c>
      <c r="BE57" s="3">
        <f>IFERROR(AVERAGEIFS(Mesures!$I:$I,Mesures!$F:$F,$A57,Mesures!$C:$C,BE$40),"")</f>
        <v/>
      </c>
      <c r="BF57" s="3">
        <f>IFERROR(AVERAGEIFS(Mesures!$I:$I,Mesures!$F:$F,$A57,Mesures!$C:$C,BF$40),"")</f>
        <v/>
      </c>
    </row>
    <row r="58">
      <c r="A58" s="2" t="inlineStr">
        <is>
          <t>L1 eventails 200 x 1000 traits / scene</t>
        </is>
      </c>
      <c r="B58" s="3">
        <f>IFERROR(AVERAGEIFS(Mesures!$I:$I,Mesures!$F:$F,$A58,Mesures!$C:$C,B$40),"")</f>
        <v/>
      </c>
      <c r="C58" s="3">
        <f>IFERROR(AVERAGEIFS(Mesures!$I:$I,Mesures!$F:$F,$A58,Mesures!$C:$C,C$40),"")</f>
        <v/>
      </c>
      <c r="D58" s="3">
        <f>IFERROR(AVERAGEIFS(Mesures!$I:$I,Mesures!$F:$F,$A58,Mesures!$C:$C,D$40),"")</f>
        <v/>
      </c>
      <c r="E58" s="3">
        <f>IFERROR(AVERAGEIFS(Mesures!$I:$I,Mesures!$F:$F,$A58,Mesures!$C:$C,E$40),"")</f>
        <v/>
      </c>
      <c r="F58" s="3">
        <f>IFERROR(AVERAGEIFS(Mesures!$I:$I,Mesures!$F:$F,$A58,Mesures!$C:$C,F$40),"")</f>
        <v/>
      </c>
      <c r="G58" s="3">
        <f>IFERROR(AVERAGEIFS(Mesures!$I:$I,Mesures!$F:$F,$A58,Mesures!$C:$C,G$40),"")</f>
        <v/>
      </c>
      <c r="H58" s="3">
        <f>IFERROR(AVERAGEIFS(Mesures!$I:$I,Mesures!$F:$F,$A58,Mesures!$C:$C,H$40),"")</f>
        <v/>
      </c>
      <c r="I58" s="3">
        <f>IFERROR(AVERAGEIFS(Mesures!$I:$I,Mesures!$F:$F,$A58,Mesures!$C:$C,I$40),"")</f>
        <v/>
      </c>
      <c r="J58" s="3">
        <f>IFERROR(AVERAGEIFS(Mesures!$I:$I,Mesures!$F:$F,$A58,Mesures!$C:$C,J$40),"")</f>
        <v/>
      </c>
      <c r="K58" s="3">
        <f>IFERROR(AVERAGEIFS(Mesures!$I:$I,Mesures!$F:$F,$A58,Mesures!$C:$C,K$40),"")</f>
        <v/>
      </c>
      <c r="L58" s="3">
        <f>IFERROR(AVERAGEIFS(Mesures!$I:$I,Mesures!$F:$F,$A58,Mesures!$C:$C,L$40),"")</f>
        <v/>
      </c>
      <c r="M58" s="3">
        <f>IFERROR(AVERAGEIFS(Mesures!$I:$I,Mesures!$F:$F,$A58,Mesures!$C:$C,M$40),"")</f>
        <v/>
      </c>
      <c r="N58" s="3">
        <f>IFERROR(AVERAGEIFS(Mesures!$I:$I,Mesures!$F:$F,$A58,Mesures!$C:$C,N$40),"")</f>
        <v/>
      </c>
      <c r="O58" s="3">
        <f>IFERROR(AVERAGEIFS(Mesures!$I:$I,Mesures!$F:$F,$A58,Mesures!$C:$C,O$40),"")</f>
        <v/>
      </c>
      <c r="P58" s="3">
        <f>IFERROR(AVERAGEIFS(Mesures!$I:$I,Mesures!$F:$F,$A58,Mesures!$C:$C,P$40),"")</f>
        <v/>
      </c>
      <c r="Q58" s="3">
        <f>IFERROR(AVERAGEIFS(Mesures!$I:$I,Mesures!$F:$F,$A58,Mesures!$C:$C,Q$40),"")</f>
        <v/>
      </c>
      <c r="R58" s="3">
        <f>IFERROR(AVERAGEIFS(Mesures!$I:$I,Mesures!$F:$F,$A58,Mesures!$C:$C,R$40),"")</f>
        <v/>
      </c>
      <c r="S58" s="3">
        <f>IFERROR(AVERAGEIFS(Mesures!$I:$I,Mesures!$F:$F,$A58,Mesures!$C:$C,S$40),"")</f>
        <v/>
      </c>
      <c r="T58" s="3">
        <f>IFERROR(AVERAGEIFS(Mesures!$I:$I,Mesures!$F:$F,$A58,Mesures!$C:$C,T$40),"")</f>
        <v/>
      </c>
      <c r="U58" s="3">
        <f>IFERROR(AVERAGEIFS(Mesures!$I:$I,Mesures!$F:$F,$A58,Mesures!$C:$C,U$40),"")</f>
        <v/>
      </c>
      <c r="V58" s="3">
        <f>IFERROR(AVERAGEIFS(Mesures!$I:$I,Mesures!$F:$F,$A58,Mesures!$C:$C,V$40),"")</f>
        <v/>
      </c>
      <c r="W58" s="3">
        <f>IFERROR(AVERAGEIFS(Mesures!$I:$I,Mesures!$F:$F,$A58,Mesures!$C:$C,W$40),"")</f>
        <v/>
      </c>
      <c r="X58" s="3">
        <f>IFERROR(AVERAGEIFS(Mesures!$I:$I,Mesures!$F:$F,$A58,Mesures!$C:$C,X$40),"")</f>
        <v/>
      </c>
      <c r="Y58" s="3">
        <f>IFERROR(AVERAGEIFS(Mesures!$I:$I,Mesures!$F:$F,$A58,Mesures!$C:$C,Y$40),"")</f>
        <v/>
      </c>
      <c r="Z58" s="3">
        <f>IFERROR(AVERAGEIFS(Mesures!$I:$I,Mesures!$F:$F,$A58,Mesures!$C:$C,Z$40),"")</f>
        <v/>
      </c>
      <c r="AA58" s="3">
        <f>IFERROR(AVERAGEIFS(Mesures!$I:$I,Mesures!$F:$F,$A58,Mesures!$C:$C,AA$40),"")</f>
        <v/>
      </c>
      <c r="AB58" s="3">
        <f>IFERROR(AVERAGEIFS(Mesures!$I:$I,Mesures!$F:$F,$A58,Mesures!$C:$C,AB$40),"")</f>
        <v/>
      </c>
      <c r="AC58" s="3">
        <f>IFERROR(AVERAGEIFS(Mesures!$I:$I,Mesures!$F:$F,$A58,Mesures!$C:$C,AC$40),"")</f>
        <v/>
      </c>
      <c r="AD58" s="3">
        <f>IFERROR(AVERAGEIFS(Mesures!$I:$I,Mesures!$F:$F,$A58,Mesures!$C:$C,AD$40),"")</f>
        <v/>
      </c>
      <c r="AE58" s="3">
        <f>IFERROR(AVERAGEIFS(Mesures!$I:$I,Mesures!$F:$F,$A58,Mesures!$C:$C,AE$40),"")</f>
        <v/>
      </c>
      <c r="AF58" s="3">
        <f>IFERROR(AVERAGEIFS(Mesures!$I:$I,Mesures!$F:$F,$A58,Mesures!$C:$C,AF$40),"")</f>
        <v/>
      </c>
      <c r="AG58" s="3">
        <f>IFERROR(AVERAGEIFS(Mesures!$I:$I,Mesures!$F:$F,$A58,Mesures!$C:$C,AG$40),"")</f>
        <v/>
      </c>
      <c r="AH58" s="3">
        <f>IFERROR(AVERAGEIFS(Mesures!$I:$I,Mesures!$F:$F,$A58,Mesures!$C:$C,AH$40),"")</f>
        <v/>
      </c>
      <c r="AI58" s="3">
        <f>IFERROR(AVERAGEIFS(Mesures!$I:$I,Mesures!$F:$F,$A58,Mesures!$C:$C,AI$40),"")</f>
        <v/>
      </c>
      <c r="AJ58" s="3">
        <f>IFERROR(AVERAGEIFS(Mesures!$I:$I,Mesures!$F:$F,$A58,Mesures!$C:$C,AJ$40),"")</f>
        <v/>
      </c>
      <c r="AK58" s="3">
        <f>IFERROR(AVERAGEIFS(Mesures!$I:$I,Mesures!$F:$F,$A58,Mesures!$C:$C,AK$40),"")</f>
        <v/>
      </c>
      <c r="AL58" s="3">
        <f>IFERROR(AVERAGEIFS(Mesures!$I:$I,Mesures!$F:$F,$A58,Mesures!$C:$C,AL$40),"")</f>
        <v/>
      </c>
      <c r="AM58" s="3">
        <f>IFERROR(AVERAGEIFS(Mesures!$I:$I,Mesures!$F:$F,$A58,Mesures!$C:$C,AM$40),"")</f>
        <v/>
      </c>
      <c r="AN58" s="3">
        <f>IFERROR(AVERAGEIFS(Mesures!$I:$I,Mesures!$F:$F,$A58,Mesures!$C:$C,AN$40),"")</f>
        <v/>
      </c>
      <c r="AO58" s="3">
        <f>IFERROR(AVERAGEIFS(Mesures!$I:$I,Mesures!$F:$F,$A58,Mesures!$C:$C,AO$40),"")</f>
        <v/>
      </c>
      <c r="AP58" s="3">
        <f>IFERROR(AVERAGEIFS(Mesures!$I:$I,Mesures!$F:$F,$A58,Mesures!$C:$C,AP$40),"")</f>
        <v/>
      </c>
      <c r="AQ58" s="3">
        <f>IFERROR(AVERAGEIFS(Mesures!$I:$I,Mesures!$F:$F,$A58,Mesures!$C:$C,AQ$40),"")</f>
        <v/>
      </c>
      <c r="AR58" s="3">
        <f>IFERROR(AVERAGEIFS(Mesures!$I:$I,Mesures!$F:$F,$A58,Mesures!$C:$C,AR$40),"")</f>
        <v/>
      </c>
      <c r="AS58" s="3">
        <f>IFERROR(AVERAGEIFS(Mesures!$I:$I,Mesures!$F:$F,$A58,Mesures!$C:$C,AS$40),"")</f>
        <v/>
      </c>
      <c r="AT58" s="3">
        <f>IFERROR(AVERAGEIFS(Mesures!$I:$I,Mesures!$F:$F,$A58,Mesures!$C:$C,AT$40),"")</f>
        <v/>
      </c>
      <c r="AU58" s="3">
        <f>IFERROR(AVERAGEIFS(Mesures!$I:$I,Mesures!$F:$F,$A58,Mesures!$C:$C,AU$40),"")</f>
        <v/>
      </c>
      <c r="AV58" s="3">
        <f>IFERROR(AVERAGEIFS(Mesures!$I:$I,Mesures!$F:$F,$A58,Mesures!$C:$C,AV$40),"")</f>
        <v/>
      </c>
      <c r="AW58" s="3">
        <f>IFERROR(AVERAGEIFS(Mesures!$I:$I,Mesures!$F:$F,$A58,Mesures!$C:$C,AW$40),"")</f>
        <v/>
      </c>
      <c r="AX58" s="3">
        <f>IFERROR(AVERAGEIFS(Mesures!$I:$I,Mesures!$F:$F,$A58,Mesures!$C:$C,AX$40),"")</f>
        <v/>
      </c>
      <c r="AY58" s="3">
        <f>IFERROR(AVERAGEIFS(Mesures!$I:$I,Mesures!$F:$F,$A58,Mesures!$C:$C,AY$40),"")</f>
        <v/>
      </c>
      <c r="AZ58" s="3">
        <f>IFERROR(AVERAGEIFS(Mesures!$I:$I,Mesures!$F:$F,$A58,Mesures!$C:$C,AZ$40),"")</f>
        <v/>
      </c>
      <c r="BA58" s="3">
        <f>IFERROR(AVERAGEIFS(Mesures!$I:$I,Mesures!$F:$F,$A58,Mesures!$C:$C,BA$40),"")</f>
        <v/>
      </c>
      <c r="BB58" s="3">
        <f>IFERROR(AVERAGEIFS(Mesures!$I:$I,Mesures!$F:$F,$A58,Mesures!$C:$C,BB$40),"")</f>
        <v/>
      </c>
      <c r="BC58" s="3">
        <f>IFERROR(AVERAGEIFS(Mesures!$I:$I,Mesures!$F:$F,$A58,Mesures!$C:$C,BC$40),"")</f>
        <v/>
      </c>
      <c r="BD58" s="3">
        <f>IFERROR(AVERAGEIFS(Mesures!$I:$I,Mesures!$F:$F,$A58,Mesures!$C:$C,BD$40),"")</f>
        <v/>
      </c>
      <c r="BE58" s="3">
        <f>IFERROR(AVERAGEIFS(Mesures!$I:$I,Mesures!$F:$F,$A58,Mesures!$C:$C,BE$40),"")</f>
        <v/>
      </c>
      <c r="BF58" s="3">
        <f>IFERROR(AVERAGEIFS(Mesures!$I:$I,Mesures!$F:$F,$A58,Mesures!$C:$C,BF$40),"")</f>
        <v/>
      </c>
    </row>
    <row r="59">
      <c r="A59" s="2" t="inlineStr">
        <is>
          <t>L1 eventails 200 x 1000 traits / sous les trusses</t>
        </is>
      </c>
      <c r="B59" s="3">
        <f>IFERROR(AVERAGEIFS(Mesures!$I:$I,Mesures!$F:$F,$A59,Mesures!$C:$C,B$40),"")</f>
        <v/>
      </c>
      <c r="C59" s="3">
        <f>IFERROR(AVERAGEIFS(Mesures!$I:$I,Mesures!$F:$F,$A59,Mesures!$C:$C,C$40),"")</f>
        <v/>
      </c>
      <c r="D59" s="3">
        <f>IFERROR(AVERAGEIFS(Mesures!$I:$I,Mesures!$F:$F,$A59,Mesures!$C:$C,D$40),"")</f>
        <v/>
      </c>
      <c r="E59" s="3">
        <f>IFERROR(AVERAGEIFS(Mesures!$I:$I,Mesures!$F:$F,$A59,Mesures!$C:$C,E$40),"")</f>
        <v/>
      </c>
      <c r="F59" s="3">
        <f>IFERROR(AVERAGEIFS(Mesures!$I:$I,Mesures!$F:$F,$A59,Mesures!$C:$C,F$40),"")</f>
        <v/>
      </c>
      <c r="G59" s="3">
        <f>IFERROR(AVERAGEIFS(Mesures!$I:$I,Mesures!$F:$F,$A59,Mesures!$C:$C,G$40),"")</f>
        <v/>
      </c>
      <c r="H59" s="3">
        <f>IFERROR(AVERAGEIFS(Mesures!$I:$I,Mesures!$F:$F,$A59,Mesures!$C:$C,H$40),"")</f>
        <v/>
      </c>
      <c r="I59" s="3">
        <f>IFERROR(AVERAGEIFS(Mesures!$I:$I,Mesures!$F:$F,$A59,Mesures!$C:$C,I$40),"")</f>
        <v/>
      </c>
      <c r="J59" s="3">
        <f>IFERROR(AVERAGEIFS(Mesures!$I:$I,Mesures!$F:$F,$A59,Mesures!$C:$C,J$40),"")</f>
        <v/>
      </c>
      <c r="K59" s="3">
        <f>IFERROR(AVERAGEIFS(Mesures!$I:$I,Mesures!$F:$F,$A59,Mesures!$C:$C,K$40),"")</f>
        <v/>
      </c>
      <c r="L59" s="3">
        <f>IFERROR(AVERAGEIFS(Mesures!$I:$I,Mesures!$F:$F,$A59,Mesures!$C:$C,L$40),"")</f>
        <v/>
      </c>
      <c r="M59" s="3">
        <f>IFERROR(AVERAGEIFS(Mesures!$I:$I,Mesures!$F:$F,$A59,Mesures!$C:$C,M$40),"")</f>
        <v/>
      </c>
      <c r="N59" s="3">
        <f>IFERROR(AVERAGEIFS(Mesures!$I:$I,Mesures!$F:$F,$A59,Mesures!$C:$C,N$40),"")</f>
        <v/>
      </c>
      <c r="O59" s="3">
        <f>IFERROR(AVERAGEIFS(Mesures!$I:$I,Mesures!$F:$F,$A59,Mesures!$C:$C,O$40),"")</f>
        <v/>
      </c>
      <c r="P59" s="3">
        <f>IFERROR(AVERAGEIFS(Mesures!$I:$I,Mesures!$F:$F,$A59,Mesures!$C:$C,P$40),"")</f>
        <v/>
      </c>
      <c r="Q59" s="3">
        <f>IFERROR(AVERAGEIFS(Mesures!$I:$I,Mesures!$F:$F,$A59,Mesures!$C:$C,Q$40),"")</f>
        <v/>
      </c>
      <c r="R59" s="3">
        <f>IFERROR(AVERAGEIFS(Mesures!$I:$I,Mesures!$F:$F,$A59,Mesures!$C:$C,R$40),"")</f>
        <v/>
      </c>
      <c r="S59" s="3">
        <f>IFERROR(AVERAGEIFS(Mesures!$I:$I,Mesures!$F:$F,$A59,Mesures!$C:$C,S$40),"")</f>
        <v/>
      </c>
      <c r="T59" s="3">
        <f>IFERROR(AVERAGEIFS(Mesures!$I:$I,Mesures!$F:$F,$A59,Mesures!$C:$C,T$40),"")</f>
        <v/>
      </c>
      <c r="U59" s="3">
        <f>IFERROR(AVERAGEIFS(Mesures!$I:$I,Mesures!$F:$F,$A59,Mesures!$C:$C,U$40),"")</f>
        <v/>
      </c>
      <c r="V59" s="3">
        <f>IFERROR(AVERAGEIFS(Mesures!$I:$I,Mesures!$F:$F,$A59,Mesures!$C:$C,V$40),"")</f>
        <v/>
      </c>
      <c r="W59" s="3">
        <f>IFERROR(AVERAGEIFS(Mesures!$I:$I,Mesures!$F:$F,$A59,Mesures!$C:$C,W$40),"")</f>
        <v/>
      </c>
      <c r="X59" s="3">
        <f>IFERROR(AVERAGEIFS(Mesures!$I:$I,Mesures!$F:$F,$A59,Mesures!$C:$C,X$40),"")</f>
        <v/>
      </c>
      <c r="Y59" s="3">
        <f>IFERROR(AVERAGEIFS(Mesures!$I:$I,Mesures!$F:$F,$A59,Mesures!$C:$C,Y$40),"")</f>
        <v/>
      </c>
      <c r="Z59" s="3">
        <f>IFERROR(AVERAGEIFS(Mesures!$I:$I,Mesures!$F:$F,$A59,Mesures!$C:$C,Z$40),"")</f>
        <v/>
      </c>
      <c r="AA59" s="3">
        <f>IFERROR(AVERAGEIFS(Mesures!$I:$I,Mesures!$F:$F,$A59,Mesures!$C:$C,AA$40),"")</f>
        <v/>
      </c>
      <c r="AB59" s="3">
        <f>IFERROR(AVERAGEIFS(Mesures!$I:$I,Mesures!$F:$F,$A59,Mesures!$C:$C,AB$40),"")</f>
        <v/>
      </c>
      <c r="AC59" s="3">
        <f>IFERROR(AVERAGEIFS(Mesures!$I:$I,Mesures!$F:$F,$A59,Mesures!$C:$C,AC$40),"")</f>
        <v/>
      </c>
      <c r="AD59" s="3">
        <f>IFERROR(AVERAGEIFS(Mesures!$I:$I,Mesures!$F:$F,$A59,Mesures!$C:$C,AD$40),"")</f>
        <v/>
      </c>
      <c r="AE59" s="3">
        <f>IFERROR(AVERAGEIFS(Mesures!$I:$I,Mesures!$F:$F,$A59,Mesures!$C:$C,AE$40),"")</f>
        <v/>
      </c>
      <c r="AF59" s="3">
        <f>IFERROR(AVERAGEIFS(Mesures!$I:$I,Mesures!$F:$F,$A59,Mesures!$C:$C,AF$40),"")</f>
        <v/>
      </c>
      <c r="AG59" s="3">
        <f>IFERROR(AVERAGEIFS(Mesures!$I:$I,Mesures!$F:$F,$A59,Mesures!$C:$C,AG$40),"")</f>
        <v/>
      </c>
      <c r="AH59" s="3">
        <f>IFERROR(AVERAGEIFS(Mesures!$I:$I,Mesures!$F:$F,$A59,Mesures!$C:$C,AH$40),"")</f>
        <v/>
      </c>
      <c r="AI59" s="3">
        <f>IFERROR(AVERAGEIFS(Mesures!$I:$I,Mesures!$F:$F,$A59,Mesures!$C:$C,AI$40),"")</f>
        <v/>
      </c>
      <c r="AJ59" s="3">
        <f>IFERROR(AVERAGEIFS(Mesures!$I:$I,Mesures!$F:$F,$A59,Mesures!$C:$C,AJ$40),"")</f>
        <v/>
      </c>
      <c r="AK59" s="3">
        <f>IFERROR(AVERAGEIFS(Mesures!$I:$I,Mesures!$F:$F,$A59,Mesures!$C:$C,AK$40),"")</f>
        <v/>
      </c>
      <c r="AL59" s="3">
        <f>IFERROR(AVERAGEIFS(Mesures!$I:$I,Mesures!$F:$F,$A59,Mesures!$C:$C,AL$40),"")</f>
        <v/>
      </c>
      <c r="AM59" s="3">
        <f>IFERROR(AVERAGEIFS(Mesures!$I:$I,Mesures!$F:$F,$A59,Mesures!$C:$C,AM$40),"")</f>
        <v/>
      </c>
      <c r="AN59" s="3">
        <f>IFERROR(AVERAGEIFS(Mesures!$I:$I,Mesures!$F:$F,$A59,Mesures!$C:$C,AN$40),"")</f>
        <v/>
      </c>
      <c r="AO59" s="3">
        <f>IFERROR(AVERAGEIFS(Mesures!$I:$I,Mesures!$F:$F,$A59,Mesures!$C:$C,AO$40),"")</f>
        <v/>
      </c>
      <c r="AP59" s="3">
        <f>IFERROR(AVERAGEIFS(Mesures!$I:$I,Mesures!$F:$F,$A59,Mesures!$C:$C,AP$40),"")</f>
        <v/>
      </c>
      <c r="AQ59" s="3">
        <f>IFERROR(AVERAGEIFS(Mesures!$I:$I,Mesures!$F:$F,$A59,Mesures!$C:$C,AQ$40),"")</f>
        <v/>
      </c>
      <c r="AR59" s="3">
        <f>IFERROR(AVERAGEIFS(Mesures!$I:$I,Mesures!$F:$F,$A59,Mesures!$C:$C,AR$40),"")</f>
        <v/>
      </c>
      <c r="AS59" s="3">
        <f>IFERROR(AVERAGEIFS(Mesures!$I:$I,Mesures!$F:$F,$A59,Mesures!$C:$C,AS$40),"")</f>
        <v/>
      </c>
      <c r="AT59" s="3">
        <f>IFERROR(AVERAGEIFS(Mesures!$I:$I,Mesures!$F:$F,$A59,Mesures!$C:$C,AT$40),"")</f>
        <v/>
      </c>
      <c r="AU59" s="3">
        <f>IFERROR(AVERAGEIFS(Mesures!$I:$I,Mesures!$F:$F,$A59,Mesures!$C:$C,AU$40),"")</f>
        <v/>
      </c>
      <c r="AV59" s="3">
        <f>IFERROR(AVERAGEIFS(Mesures!$I:$I,Mesures!$F:$F,$A59,Mesures!$C:$C,AV$40),"")</f>
        <v/>
      </c>
      <c r="AW59" s="3">
        <f>IFERROR(AVERAGEIFS(Mesures!$I:$I,Mesures!$F:$F,$A59,Mesures!$C:$C,AW$40),"")</f>
        <v/>
      </c>
      <c r="AX59" s="3">
        <f>IFERROR(AVERAGEIFS(Mesures!$I:$I,Mesures!$F:$F,$A59,Mesures!$C:$C,AX$40),"")</f>
        <v/>
      </c>
      <c r="AY59" s="3">
        <f>IFERROR(AVERAGEIFS(Mesures!$I:$I,Mesures!$F:$F,$A59,Mesures!$C:$C,AY$40),"")</f>
        <v/>
      </c>
      <c r="AZ59" s="3">
        <f>IFERROR(AVERAGEIFS(Mesures!$I:$I,Mesures!$F:$F,$A59,Mesures!$C:$C,AZ$40),"")</f>
        <v/>
      </c>
      <c r="BA59" s="3">
        <f>IFERROR(AVERAGEIFS(Mesures!$I:$I,Mesures!$F:$F,$A59,Mesures!$C:$C,BA$40),"")</f>
        <v/>
      </c>
      <c r="BB59" s="3">
        <f>IFERROR(AVERAGEIFS(Mesures!$I:$I,Mesures!$F:$F,$A59,Mesures!$C:$C,BB$40),"")</f>
        <v/>
      </c>
      <c r="BC59" s="3">
        <f>IFERROR(AVERAGEIFS(Mesures!$I:$I,Mesures!$F:$F,$A59,Mesures!$C:$C,BC$40),"")</f>
        <v/>
      </c>
      <c r="BD59" s="3">
        <f>IFERROR(AVERAGEIFS(Mesures!$I:$I,Mesures!$F:$F,$A59,Mesures!$C:$C,BD$40),"")</f>
        <v/>
      </c>
      <c r="BE59" s="3">
        <f>IFERROR(AVERAGEIFS(Mesures!$I:$I,Mesures!$F:$F,$A59,Mesures!$C:$C,BE$40),"")</f>
        <v/>
      </c>
      <c r="BF59" s="3">
        <f>IFERROR(AVERAGEIFS(Mesures!$I:$I,Mesures!$F:$F,$A59,Mesures!$C:$C,BF$40),"")</f>
        <v/>
      </c>
    </row>
    <row r="60">
      <c r="A60" s="2" t="inlineStr">
        <is>
          <t>L2 cones 200 x 32 segments / public</t>
        </is>
      </c>
      <c r="B60" s="3">
        <f>IFERROR(AVERAGEIFS(Mesures!$I:$I,Mesures!$F:$F,$A60,Mesures!$C:$C,B$40),"")</f>
        <v/>
      </c>
      <c r="C60" s="3">
        <f>IFERROR(AVERAGEIFS(Mesures!$I:$I,Mesures!$F:$F,$A60,Mesures!$C:$C,C$40),"")</f>
        <v/>
      </c>
      <c r="D60" s="3">
        <f>IFERROR(AVERAGEIFS(Mesures!$I:$I,Mesures!$F:$F,$A60,Mesures!$C:$C,D$40),"")</f>
        <v/>
      </c>
      <c r="E60" s="3">
        <f>IFERROR(AVERAGEIFS(Mesures!$I:$I,Mesures!$F:$F,$A60,Mesures!$C:$C,E$40),"")</f>
        <v/>
      </c>
      <c r="F60" s="3">
        <f>IFERROR(AVERAGEIFS(Mesures!$I:$I,Mesures!$F:$F,$A60,Mesures!$C:$C,F$40),"")</f>
        <v/>
      </c>
      <c r="G60" s="3">
        <f>IFERROR(AVERAGEIFS(Mesures!$I:$I,Mesures!$F:$F,$A60,Mesures!$C:$C,G$40),"")</f>
        <v/>
      </c>
      <c r="H60" s="3">
        <f>IFERROR(AVERAGEIFS(Mesures!$I:$I,Mesures!$F:$F,$A60,Mesures!$C:$C,H$40),"")</f>
        <v/>
      </c>
      <c r="I60" s="3">
        <f>IFERROR(AVERAGEIFS(Mesures!$I:$I,Mesures!$F:$F,$A60,Mesures!$C:$C,I$40),"")</f>
        <v/>
      </c>
      <c r="J60" s="3">
        <f>IFERROR(AVERAGEIFS(Mesures!$I:$I,Mesures!$F:$F,$A60,Mesures!$C:$C,J$40),"")</f>
        <v/>
      </c>
      <c r="K60" s="3">
        <f>IFERROR(AVERAGEIFS(Mesures!$I:$I,Mesures!$F:$F,$A60,Mesures!$C:$C,K$40),"")</f>
        <v/>
      </c>
      <c r="L60" s="3">
        <f>IFERROR(AVERAGEIFS(Mesures!$I:$I,Mesures!$F:$F,$A60,Mesures!$C:$C,L$40),"")</f>
        <v/>
      </c>
      <c r="M60" s="3">
        <f>IFERROR(AVERAGEIFS(Mesures!$I:$I,Mesures!$F:$F,$A60,Mesures!$C:$C,M$40),"")</f>
        <v/>
      </c>
      <c r="N60" s="3">
        <f>IFERROR(AVERAGEIFS(Mesures!$I:$I,Mesures!$F:$F,$A60,Mesures!$C:$C,N$40),"")</f>
        <v/>
      </c>
      <c r="O60" s="3">
        <f>IFERROR(AVERAGEIFS(Mesures!$I:$I,Mesures!$F:$F,$A60,Mesures!$C:$C,O$40),"")</f>
        <v/>
      </c>
      <c r="P60" s="3">
        <f>IFERROR(AVERAGEIFS(Mesures!$I:$I,Mesures!$F:$F,$A60,Mesures!$C:$C,P$40),"")</f>
        <v/>
      </c>
      <c r="Q60" s="3">
        <f>IFERROR(AVERAGEIFS(Mesures!$I:$I,Mesures!$F:$F,$A60,Mesures!$C:$C,Q$40),"")</f>
        <v/>
      </c>
      <c r="R60" s="3">
        <f>IFERROR(AVERAGEIFS(Mesures!$I:$I,Mesures!$F:$F,$A60,Mesures!$C:$C,R$40),"")</f>
        <v/>
      </c>
      <c r="S60" s="3">
        <f>IFERROR(AVERAGEIFS(Mesures!$I:$I,Mesures!$F:$F,$A60,Mesures!$C:$C,S$40),"")</f>
        <v/>
      </c>
      <c r="T60" s="3">
        <f>IFERROR(AVERAGEIFS(Mesures!$I:$I,Mesures!$F:$F,$A60,Mesures!$C:$C,T$40),"")</f>
        <v/>
      </c>
      <c r="U60" s="3">
        <f>IFERROR(AVERAGEIFS(Mesures!$I:$I,Mesures!$F:$F,$A60,Mesures!$C:$C,U$40),"")</f>
        <v/>
      </c>
      <c r="V60" s="3">
        <f>IFERROR(AVERAGEIFS(Mesures!$I:$I,Mesures!$F:$F,$A60,Mesures!$C:$C,V$40),"")</f>
        <v/>
      </c>
      <c r="W60" s="3">
        <f>IFERROR(AVERAGEIFS(Mesures!$I:$I,Mesures!$F:$F,$A60,Mesures!$C:$C,W$40),"")</f>
        <v/>
      </c>
      <c r="X60" s="3">
        <f>IFERROR(AVERAGEIFS(Mesures!$I:$I,Mesures!$F:$F,$A60,Mesures!$C:$C,X$40),"")</f>
        <v/>
      </c>
      <c r="Y60" s="3">
        <f>IFERROR(AVERAGEIFS(Mesures!$I:$I,Mesures!$F:$F,$A60,Mesures!$C:$C,Y$40),"")</f>
        <v/>
      </c>
      <c r="Z60" s="3">
        <f>IFERROR(AVERAGEIFS(Mesures!$I:$I,Mesures!$F:$F,$A60,Mesures!$C:$C,Z$40),"")</f>
        <v/>
      </c>
      <c r="AA60" s="3">
        <f>IFERROR(AVERAGEIFS(Mesures!$I:$I,Mesures!$F:$F,$A60,Mesures!$C:$C,AA$40),"")</f>
        <v/>
      </c>
      <c r="AB60" s="3">
        <f>IFERROR(AVERAGEIFS(Mesures!$I:$I,Mesures!$F:$F,$A60,Mesures!$C:$C,AB$40),"")</f>
        <v/>
      </c>
      <c r="AC60" s="3">
        <f>IFERROR(AVERAGEIFS(Mesures!$I:$I,Mesures!$F:$F,$A60,Mesures!$C:$C,AC$40),"")</f>
        <v/>
      </c>
      <c r="AD60" s="3">
        <f>IFERROR(AVERAGEIFS(Mesures!$I:$I,Mesures!$F:$F,$A60,Mesures!$C:$C,AD$40),"")</f>
        <v/>
      </c>
      <c r="AE60" s="3">
        <f>IFERROR(AVERAGEIFS(Mesures!$I:$I,Mesures!$F:$F,$A60,Mesures!$C:$C,AE$40),"")</f>
        <v/>
      </c>
      <c r="AF60" s="3">
        <f>IFERROR(AVERAGEIFS(Mesures!$I:$I,Mesures!$F:$F,$A60,Mesures!$C:$C,AF$40),"")</f>
        <v/>
      </c>
      <c r="AG60" s="3">
        <f>IFERROR(AVERAGEIFS(Mesures!$I:$I,Mesures!$F:$F,$A60,Mesures!$C:$C,AG$40),"")</f>
        <v/>
      </c>
      <c r="AH60" s="3">
        <f>IFERROR(AVERAGEIFS(Mesures!$I:$I,Mesures!$F:$F,$A60,Mesures!$C:$C,AH$40),"")</f>
        <v/>
      </c>
      <c r="AI60" s="3">
        <f>IFERROR(AVERAGEIFS(Mesures!$I:$I,Mesures!$F:$F,$A60,Mesures!$C:$C,AI$40),"")</f>
        <v/>
      </c>
      <c r="AJ60" s="3">
        <f>IFERROR(AVERAGEIFS(Mesures!$I:$I,Mesures!$F:$F,$A60,Mesures!$C:$C,AJ$40),"")</f>
        <v/>
      </c>
      <c r="AK60" s="3">
        <f>IFERROR(AVERAGEIFS(Mesures!$I:$I,Mesures!$F:$F,$A60,Mesures!$C:$C,AK$40),"")</f>
        <v/>
      </c>
      <c r="AL60" s="3">
        <f>IFERROR(AVERAGEIFS(Mesures!$I:$I,Mesures!$F:$F,$A60,Mesures!$C:$C,AL$40),"")</f>
        <v/>
      </c>
      <c r="AM60" s="3">
        <f>IFERROR(AVERAGEIFS(Mesures!$I:$I,Mesures!$F:$F,$A60,Mesures!$C:$C,AM$40),"")</f>
        <v/>
      </c>
      <c r="AN60" s="3">
        <f>IFERROR(AVERAGEIFS(Mesures!$I:$I,Mesures!$F:$F,$A60,Mesures!$C:$C,AN$40),"")</f>
        <v/>
      </c>
      <c r="AO60" s="3">
        <f>IFERROR(AVERAGEIFS(Mesures!$I:$I,Mesures!$F:$F,$A60,Mesures!$C:$C,AO$40),"")</f>
        <v/>
      </c>
      <c r="AP60" s="3">
        <f>IFERROR(AVERAGEIFS(Mesures!$I:$I,Mesures!$F:$F,$A60,Mesures!$C:$C,AP$40),"")</f>
        <v/>
      </c>
      <c r="AQ60" s="3">
        <f>IFERROR(AVERAGEIFS(Mesures!$I:$I,Mesures!$F:$F,$A60,Mesures!$C:$C,AQ$40),"")</f>
        <v/>
      </c>
      <c r="AR60" s="3">
        <f>IFERROR(AVERAGEIFS(Mesures!$I:$I,Mesures!$F:$F,$A60,Mesures!$C:$C,AR$40),"")</f>
        <v/>
      </c>
      <c r="AS60" s="3">
        <f>IFERROR(AVERAGEIFS(Mesures!$I:$I,Mesures!$F:$F,$A60,Mesures!$C:$C,AS$40),"")</f>
        <v/>
      </c>
      <c r="AT60" s="3">
        <f>IFERROR(AVERAGEIFS(Mesures!$I:$I,Mesures!$F:$F,$A60,Mesures!$C:$C,AT$40),"")</f>
        <v/>
      </c>
      <c r="AU60" s="3">
        <f>IFERROR(AVERAGEIFS(Mesures!$I:$I,Mesures!$F:$F,$A60,Mesures!$C:$C,AU$40),"")</f>
        <v/>
      </c>
      <c r="AV60" s="3">
        <f>IFERROR(AVERAGEIFS(Mesures!$I:$I,Mesures!$F:$F,$A60,Mesures!$C:$C,AV$40),"")</f>
        <v/>
      </c>
      <c r="AW60" s="3">
        <f>IFERROR(AVERAGEIFS(Mesures!$I:$I,Mesures!$F:$F,$A60,Mesures!$C:$C,AW$40),"")</f>
        <v/>
      </c>
      <c r="AX60" s="3">
        <f>IFERROR(AVERAGEIFS(Mesures!$I:$I,Mesures!$F:$F,$A60,Mesures!$C:$C,AX$40),"")</f>
        <v/>
      </c>
      <c r="AY60" s="3">
        <f>IFERROR(AVERAGEIFS(Mesures!$I:$I,Mesures!$F:$F,$A60,Mesures!$C:$C,AY$40),"")</f>
        <v/>
      </c>
      <c r="AZ60" s="3">
        <f>IFERROR(AVERAGEIFS(Mesures!$I:$I,Mesures!$F:$F,$A60,Mesures!$C:$C,AZ$40),"")</f>
        <v/>
      </c>
      <c r="BA60" s="3">
        <f>IFERROR(AVERAGEIFS(Mesures!$I:$I,Mesures!$F:$F,$A60,Mesures!$C:$C,BA$40),"")</f>
        <v/>
      </c>
      <c r="BB60" s="3">
        <f>IFERROR(AVERAGEIFS(Mesures!$I:$I,Mesures!$F:$F,$A60,Mesures!$C:$C,BB$40),"")</f>
        <v/>
      </c>
      <c r="BC60" s="3">
        <f>IFERROR(AVERAGEIFS(Mesures!$I:$I,Mesures!$F:$F,$A60,Mesures!$C:$C,BC$40),"")</f>
        <v/>
      </c>
      <c r="BD60" s="3">
        <f>IFERROR(AVERAGEIFS(Mesures!$I:$I,Mesures!$F:$F,$A60,Mesures!$C:$C,BD$40),"")</f>
        <v/>
      </c>
      <c r="BE60" s="3">
        <f>IFERROR(AVERAGEIFS(Mesures!$I:$I,Mesures!$F:$F,$A60,Mesures!$C:$C,BE$40),"")</f>
        <v/>
      </c>
      <c r="BF60" s="3">
        <f>IFERROR(AVERAGEIFS(Mesures!$I:$I,Mesures!$F:$F,$A60,Mesures!$C:$C,BF$40),"")</f>
        <v/>
      </c>
    </row>
    <row r="61">
      <c r="A61" s="2" t="inlineStr">
        <is>
          <t>L2 cones 200 x 32 segments / scene</t>
        </is>
      </c>
      <c r="B61" s="3">
        <f>IFERROR(AVERAGEIFS(Mesures!$I:$I,Mesures!$F:$F,$A61,Mesures!$C:$C,B$40),"")</f>
        <v/>
      </c>
      <c r="C61" s="3">
        <f>IFERROR(AVERAGEIFS(Mesures!$I:$I,Mesures!$F:$F,$A61,Mesures!$C:$C,C$40),"")</f>
        <v/>
      </c>
      <c r="D61" s="3">
        <f>IFERROR(AVERAGEIFS(Mesures!$I:$I,Mesures!$F:$F,$A61,Mesures!$C:$C,D$40),"")</f>
        <v/>
      </c>
      <c r="E61" s="3">
        <f>IFERROR(AVERAGEIFS(Mesures!$I:$I,Mesures!$F:$F,$A61,Mesures!$C:$C,E$40),"")</f>
        <v/>
      </c>
      <c r="F61" s="3">
        <f>IFERROR(AVERAGEIFS(Mesures!$I:$I,Mesures!$F:$F,$A61,Mesures!$C:$C,F$40),"")</f>
        <v/>
      </c>
      <c r="G61" s="3">
        <f>IFERROR(AVERAGEIFS(Mesures!$I:$I,Mesures!$F:$F,$A61,Mesures!$C:$C,G$40),"")</f>
        <v/>
      </c>
      <c r="H61" s="3">
        <f>IFERROR(AVERAGEIFS(Mesures!$I:$I,Mesures!$F:$F,$A61,Mesures!$C:$C,H$40),"")</f>
        <v/>
      </c>
      <c r="I61" s="3">
        <f>IFERROR(AVERAGEIFS(Mesures!$I:$I,Mesures!$F:$F,$A61,Mesures!$C:$C,I$40),"")</f>
        <v/>
      </c>
      <c r="J61" s="3">
        <f>IFERROR(AVERAGEIFS(Mesures!$I:$I,Mesures!$F:$F,$A61,Mesures!$C:$C,J$40),"")</f>
        <v/>
      </c>
      <c r="K61" s="3">
        <f>IFERROR(AVERAGEIFS(Mesures!$I:$I,Mesures!$F:$F,$A61,Mesures!$C:$C,K$40),"")</f>
        <v/>
      </c>
      <c r="L61" s="3">
        <f>IFERROR(AVERAGEIFS(Mesures!$I:$I,Mesures!$F:$F,$A61,Mesures!$C:$C,L$40),"")</f>
        <v/>
      </c>
      <c r="M61" s="3">
        <f>IFERROR(AVERAGEIFS(Mesures!$I:$I,Mesures!$F:$F,$A61,Mesures!$C:$C,M$40),"")</f>
        <v/>
      </c>
      <c r="N61" s="3">
        <f>IFERROR(AVERAGEIFS(Mesures!$I:$I,Mesures!$F:$F,$A61,Mesures!$C:$C,N$40),"")</f>
        <v/>
      </c>
      <c r="O61" s="3">
        <f>IFERROR(AVERAGEIFS(Mesures!$I:$I,Mesures!$F:$F,$A61,Mesures!$C:$C,O$40),"")</f>
        <v/>
      </c>
      <c r="P61" s="3">
        <f>IFERROR(AVERAGEIFS(Mesures!$I:$I,Mesures!$F:$F,$A61,Mesures!$C:$C,P$40),"")</f>
        <v/>
      </c>
      <c r="Q61" s="3">
        <f>IFERROR(AVERAGEIFS(Mesures!$I:$I,Mesures!$F:$F,$A61,Mesures!$C:$C,Q$40),"")</f>
        <v/>
      </c>
      <c r="R61" s="3">
        <f>IFERROR(AVERAGEIFS(Mesures!$I:$I,Mesures!$F:$F,$A61,Mesures!$C:$C,R$40),"")</f>
        <v/>
      </c>
      <c r="S61" s="3">
        <f>IFERROR(AVERAGEIFS(Mesures!$I:$I,Mesures!$F:$F,$A61,Mesures!$C:$C,S$40),"")</f>
        <v/>
      </c>
      <c r="T61" s="3">
        <f>IFERROR(AVERAGEIFS(Mesures!$I:$I,Mesures!$F:$F,$A61,Mesures!$C:$C,T$40),"")</f>
        <v/>
      </c>
      <c r="U61" s="3">
        <f>IFERROR(AVERAGEIFS(Mesures!$I:$I,Mesures!$F:$F,$A61,Mesures!$C:$C,U$40),"")</f>
        <v/>
      </c>
      <c r="V61" s="3">
        <f>IFERROR(AVERAGEIFS(Mesures!$I:$I,Mesures!$F:$F,$A61,Mesures!$C:$C,V$40),"")</f>
        <v/>
      </c>
      <c r="W61" s="3">
        <f>IFERROR(AVERAGEIFS(Mesures!$I:$I,Mesures!$F:$F,$A61,Mesures!$C:$C,W$40),"")</f>
        <v/>
      </c>
      <c r="X61" s="3">
        <f>IFERROR(AVERAGEIFS(Mesures!$I:$I,Mesures!$F:$F,$A61,Mesures!$C:$C,X$40),"")</f>
        <v/>
      </c>
      <c r="Y61" s="3">
        <f>IFERROR(AVERAGEIFS(Mesures!$I:$I,Mesures!$F:$F,$A61,Mesures!$C:$C,Y$40),"")</f>
        <v/>
      </c>
      <c r="Z61" s="3">
        <f>IFERROR(AVERAGEIFS(Mesures!$I:$I,Mesures!$F:$F,$A61,Mesures!$C:$C,Z$40),"")</f>
        <v/>
      </c>
      <c r="AA61" s="3">
        <f>IFERROR(AVERAGEIFS(Mesures!$I:$I,Mesures!$F:$F,$A61,Mesures!$C:$C,AA$40),"")</f>
        <v/>
      </c>
      <c r="AB61" s="3">
        <f>IFERROR(AVERAGEIFS(Mesures!$I:$I,Mesures!$F:$F,$A61,Mesures!$C:$C,AB$40),"")</f>
        <v/>
      </c>
      <c r="AC61" s="3">
        <f>IFERROR(AVERAGEIFS(Mesures!$I:$I,Mesures!$F:$F,$A61,Mesures!$C:$C,AC$40),"")</f>
        <v/>
      </c>
      <c r="AD61" s="3">
        <f>IFERROR(AVERAGEIFS(Mesures!$I:$I,Mesures!$F:$F,$A61,Mesures!$C:$C,AD$40),"")</f>
        <v/>
      </c>
      <c r="AE61" s="3">
        <f>IFERROR(AVERAGEIFS(Mesures!$I:$I,Mesures!$F:$F,$A61,Mesures!$C:$C,AE$40),"")</f>
        <v/>
      </c>
      <c r="AF61" s="3">
        <f>IFERROR(AVERAGEIFS(Mesures!$I:$I,Mesures!$F:$F,$A61,Mesures!$C:$C,AF$40),"")</f>
        <v/>
      </c>
      <c r="AG61" s="3">
        <f>IFERROR(AVERAGEIFS(Mesures!$I:$I,Mesures!$F:$F,$A61,Mesures!$C:$C,AG$40),"")</f>
        <v/>
      </c>
      <c r="AH61" s="3">
        <f>IFERROR(AVERAGEIFS(Mesures!$I:$I,Mesures!$F:$F,$A61,Mesures!$C:$C,AH$40),"")</f>
        <v/>
      </c>
      <c r="AI61" s="3">
        <f>IFERROR(AVERAGEIFS(Mesures!$I:$I,Mesures!$F:$F,$A61,Mesures!$C:$C,AI$40),"")</f>
        <v/>
      </c>
      <c r="AJ61" s="3">
        <f>IFERROR(AVERAGEIFS(Mesures!$I:$I,Mesures!$F:$F,$A61,Mesures!$C:$C,AJ$40),"")</f>
        <v/>
      </c>
      <c r="AK61" s="3">
        <f>IFERROR(AVERAGEIFS(Mesures!$I:$I,Mesures!$F:$F,$A61,Mesures!$C:$C,AK$40),"")</f>
        <v/>
      </c>
      <c r="AL61" s="3">
        <f>IFERROR(AVERAGEIFS(Mesures!$I:$I,Mesures!$F:$F,$A61,Mesures!$C:$C,AL$40),"")</f>
        <v/>
      </c>
      <c r="AM61" s="3">
        <f>IFERROR(AVERAGEIFS(Mesures!$I:$I,Mesures!$F:$F,$A61,Mesures!$C:$C,AM$40),"")</f>
        <v/>
      </c>
      <c r="AN61" s="3">
        <f>IFERROR(AVERAGEIFS(Mesures!$I:$I,Mesures!$F:$F,$A61,Mesures!$C:$C,AN$40),"")</f>
        <v/>
      </c>
      <c r="AO61" s="3">
        <f>IFERROR(AVERAGEIFS(Mesures!$I:$I,Mesures!$F:$F,$A61,Mesures!$C:$C,AO$40),"")</f>
        <v/>
      </c>
      <c r="AP61" s="3">
        <f>IFERROR(AVERAGEIFS(Mesures!$I:$I,Mesures!$F:$F,$A61,Mesures!$C:$C,AP$40),"")</f>
        <v/>
      </c>
      <c r="AQ61" s="3">
        <f>IFERROR(AVERAGEIFS(Mesures!$I:$I,Mesures!$F:$F,$A61,Mesures!$C:$C,AQ$40),"")</f>
        <v/>
      </c>
      <c r="AR61" s="3">
        <f>IFERROR(AVERAGEIFS(Mesures!$I:$I,Mesures!$F:$F,$A61,Mesures!$C:$C,AR$40),"")</f>
        <v/>
      </c>
      <c r="AS61" s="3">
        <f>IFERROR(AVERAGEIFS(Mesures!$I:$I,Mesures!$F:$F,$A61,Mesures!$C:$C,AS$40),"")</f>
        <v/>
      </c>
      <c r="AT61" s="3">
        <f>IFERROR(AVERAGEIFS(Mesures!$I:$I,Mesures!$F:$F,$A61,Mesures!$C:$C,AT$40),"")</f>
        <v/>
      </c>
      <c r="AU61" s="3">
        <f>IFERROR(AVERAGEIFS(Mesures!$I:$I,Mesures!$F:$F,$A61,Mesures!$C:$C,AU$40),"")</f>
        <v/>
      </c>
      <c r="AV61" s="3">
        <f>IFERROR(AVERAGEIFS(Mesures!$I:$I,Mesures!$F:$F,$A61,Mesures!$C:$C,AV$40),"")</f>
        <v/>
      </c>
      <c r="AW61" s="3">
        <f>IFERROR(AVERAGEIFS(Mesures!$I:$I,Mesures!$F:$F,$A61,Mesures!$C:$C,AW$40),"")</f>
        <v/>
      </c>
      <c r="AX61" s="3">
        <f>IFERROR(AVERAGEIFS(Mesures!$I:$I,Mesures!$F:$F,$A61,Mesures!$C:$C,AX$40),"")</f>
        <v/>
      </c>
      <c r="AY61" s="3">
        <f>IFERROR(AVERAGEIFS(Mesures!$I:$I,Mesures!$F:$F,$A61,Mesures!$C:$C,AY$40),"")</f>
        <v/>
      </c>
      <c r="AZ61" s="3">
        <f>IFERROR(AVERAGEIFS(Mesures!$I:$I,Mesures!$F:$F,$A61,Mesures!$C:$C,AZ$40),"")</f>
        <v/>
      </c>
      <c r="BA61" s="3">
        <f>IFERROR(AVERAGEIFS(Mesures!$I:$I,Mesures!$F:$F,$A61,Mesures!$C:$C,BA$40),"")</f>
        <v/>
      </c>
      <c r="BB61" s="3">
        <f>IFERROR(AVERAGEIFS(Mesures!$I:$I,Mesures!$F:$F,$A61,Mesures!$C:$C,BB$40),"")</f>
        <v/>
      </c>
      <c r="BC61" s="3">
        <f>IFERROR(AVERAGEIFS(Mesures!$I:$I,Mesures!$F:$F,$A61,Mesures!$C:$C,BC$40),"")</f>
        <v/>
      </c>
      <c r="BD61" s="3">
        <f>IFERROR(AVERAGEIFS(Mesures!$I:$I,Mesures!$F:$F,$A61,Mesures!$C:$C,BD$40),"")</f>
        <v/>
      </c>
      <c r="BE61" s="3">
        <f>IFERROR(AVERAGEIFS(Mesures!$I:$I,Mesures!$F:$F,$A61,Mesures!$C:$C,BE$40),"")</f>
        <v/>
      </c>
      <c r="BF61" s="3">
        <f>IFERROR(AVERAGEIFS(Mesures!$I:$I,Mesures!$F:$F,$A61,Mesures!$C:$C,BF$40),"")</f>
        <v/>
      </c>
    </row>
    <row r="62">
      <c r="A62" s="2" t="inlineStr">
        <is>
          <t>L3 camera dans les nappes</t>
        </is>
      </c>
      <c r="B62" s="3">
        <f>IFERROR(AVERAGEIFS(Mesures!$I:$I,Mesures!$F:$F,$A62,Mesures!$C:$C,B$40),"")</f>
        <v/>
      </c>
      <c r="C62" s="3">
        <f>IFERROR(AVERAGEIFS(Mesures!$I:$I,Mesures!$F:$F,$A62,Mesures!$C:$C,C$40),"")</f>
        <v/>
      </c>
      <c r="D62" s="3">
        <f>IFERROR(AVERAGEIFS(Mesures!$I:$I,Mesures!$F:$F,$A62,Mesures!$C:$C,D$40),"")</f>
        <v/>
      </c>
      <c r="E62" s="3">
        <f>IFERROR(AVERAGEIFS(Mesures!$I:$I,Mesures!$F:$F,$A62,Mesures!$C:$C,E$40),"")</f>
        <v/>
      </c>
      <c r="F62" s="3">
        <f>IFERROR(AVERAGEIFS(Mesures!$I:$I,Mesures!$F:$F,$A62,Mesures!$C:$C,F$40),"")</f>
        <v/>
      </c>
      <c r="G62" s="3">
        <f>IFERROR(AVERAGEIFS(Mesures!$I:$I,Mesures!$F:$F,$A62,Mesures!$C:$C,G$40),"")</f>
        <v/>
      </c>
      <c r="H62" s="3">
        <f>IFERROR(AVERAGEIFS(Mesures!$I:$I,Mesures!$F:$F,$A62,Mesures!$C:$C,H$40),"")</f>
        <v/>
      </c>
      <c r="I62" s="3">
        <f>IFERROR(AVERAGEIFS(Mesures!$I:$I,Mesures!$F:$F,$A62,Mesures!$C:$C,I$40),"")</f>
        <v/>
      </c>
      <c r="J62" s="3">
        <f>IFERROR(AVERAGEIFS(Mesures!$I:$I,Mesures!$F:$F,$A62,Mesures!$C:$C,J$40),"")</f>
        <v/>
      </c>
      <c r="K62" s="3">
        <f>IFERROR(AVERAGEIFS(Mesures!$I:$I,Mesures!$F:$F,$A62,Mesures!$C:$C,K$40),"")</f>
        <v/>
      </c>
      <c r="L62" s="3">
        <f>IFERROR(AVERAGEIFS(Mesures!$I:$I,Mesures!$F:$F,$A62,Mesures!$C:$C,L$40),"")</f>
        <v/>
      </c>
      <c r="M62" s="3">
        <f>IFERROR(AVERAGEIFS(Mesures!$I:$I,Mesures!$F:$F,$A62,Mesures!$C:$C,M$40),"")</f>
        <v/>
      </c>
      <c r="N62" s="3">
        <f>IFERROR(AVERAGEIFS(Mesures!$I:$I,Mesures!$F:$F,$A62,Mesures!$C:$C,N$40),"")</f>
        <v/>
      </c>
      <c r="O62" s="3">
        <f>IFERROR(AVERAGEIFS(Mesures!$I:$I,Mesures!$F:$F,$A62,Mesures!$C:$C,O$40),"")</f>
        <v/>
      </c>
      <c r="P62" s="3">
        <f>IFERROR(AVERAGEIFS(Mesures!$I:$I,Mesures!$F:$F,$A62,Mesures!$C:$C,P$40),"")</f>
        <v/>
      </c>
      <c r="Q62" s="3">
        <f>IFERROR(AVERAGEIFS(Mesures!$I:$I,Mesures!$F:$F,$A62,Mesures!$C:$C,Q$40),"")</f>
        <v/>
      </c>
      <c r="R62" s="3">
        <f>IFERROR(AVERAGEIFS(Mesures!$I:$I,Mesures!$F:$F,$A62,Mesures!$C:$C,R$40),"")</f>
        <v/>
      </c>
      <c r="S62" s="3">
        <f>IFERROR(AVERAGEIFS(Mesures!$I:$I,Mesures!$F:$F,$A62,Mesures!$C:$C,S$40),"")</f>
        <v/>
      </c>
      <c r="T62" s="3">
        <f>IFERROR(AVERAGEIFS(Mesures!$I:$I,Mesures!$F:$F,$A62,Mesures!$C:$C,T$40),"")</f>
        <v/>
      </c>
      <c r="U62" s="3">
        <f>IFERROR(AVERAGEIFS(Mesures!$I:$I,Mesures!$F:$F,$A62,Mesures!$C:$C,U$40),"")</f>
        <v/>
      </c>
      <c r="V62" s="3">
        <f>IFERROR(AVERAGEIFS(Mesures!$I:$I,Mesures!$F:$F,$A62,Mesures!$C:$C,V$40),"")</f>
        <v/>
      </c>
      <c r="W62" s="3">
        <f>IFERROR(AVERAGEIFS(Mesures!$I:$I,Mesures!$F:$F,$A62,Mesures!$C:$C,W$40),"")</f>
        <v/>
      </c>
      <c r="X62" s="3">
        <f>IFERROR(AVERAGEIFS(Mesures!$I:$I,Mesures!$F:$F,$A62,Mesures!$C:$C,X$40),"")</f>
        <v/>
      </c>
      <c r="Y62" s="3">
        <f>IFERROR(AVERAGEIFS(Mesures!$I:$I,Mesures!$F:$F,$A62,Mesures!$C:$C,Y$40),"")</f>
        <v/>
      </c>
      <c r="Z62" s="3">
        <f>IFERROR(AVERAGEIFS(Mesures!$I:$I,Mesures!$F:$F,$A62,Mesures!$C:$C,Z$40),"")</f>
        <v/>
      </c>
      <c r="AA62" s="3">
        <f>IFERROR(AVERAGEIFS(Mesures!$I:$I,Mesures!$F:$F,$A62,Mesures!$C:$C,AA$40),"")</f>
        <v/>
      </c>
      <c r="AB62" s="3">
        <f>IFERROR(AVERAGEIFS(Mesures!$I:$I,Mesures!$F:$F,$A62,Mesures!$C:$C,AB$40),"")</f>
        <v/>
      </c>
      <c r="AC62" s="3">
        <f>IFERROR(AVERAGEIFS(Mesures!$I:$I,Mesures!$F:$F,$A62,Mesures!$C:$C,AC$40),"")</f>
        <v/>
      </c>
      <c r="AD62" s="3">
        <f>IFERROR(AVERAGEIFS(Mesures!$I:$I,Mesures!$F:$F,$A62,Mesures!$C:$C,AD$40),"")</f>
        <v/>
      </c>
      <c r="AE62" s="3">
        <f>IFERROR(AVERAGEIFS(Mesures!$I:$I,Mesures!$F:$F,$A62,Mesures!$C:$C,AE$40),"")</f>
        <v/>
      </c>
      <c r="AF62" s="3">
        <f>IFERROR(AVERAGEIFS(Mesures!$I:$I,Mesures!$F:$F,$A62,Mesures!$C:$C,AF$40),"")</f>
        <v/>
      </c>
      <c r="AG62" s="3">
        <f>IFERROR(AVERAGEIFS(Mesures!$I:$I,Mesures!$F:$F,$A62,Mesures!$C:$C,AG$40),"")</f>
        <v/>
      </c>
      <c r="AH62" s="3">
        <f>IFERROR(AVERAGEIFS(Mesures!$I:$I,Mesures!$F:$F,$A62,Mesures!$C:$C,AH$40),"")</f>
        <v/>
      </c>
      <c r="AI62" s="3">
        <f>IFERROR(AVERAGEIFS(Mesures!$I:$I,Mesures!$F:$F,$A62,Mesures!$C:$C,AI$40),"")</f>
        <v/>
      </c>
      <c r="AJ62" s="3">
        <f>IFERROR(AVERAGEIFS(Mesures!$I:$I,Mesures!$F:$F,$A62,Mesures!$C:$C,AJ$40),"")</f>
        <v/>
      </c>
      <c r="AK62" s="3">
        <f>IFERROR(AVERAGEIFS(Mesures!$I:$I,Mesures!$F:$F,$A62,Mesures!$C:$C,AK$40),"")</f>
        <v/>
      </c>
      <c r="AL62" s="3">
        <f>IFERROR(AVERAGEIFS(Mesures!$I:$I,Mesures!$F:$F,$A62,Mesures!$C:$C,AL$40),"")</f>
        <v/>
      </c>
      <c r="AM62" s="3">
        <f>IFERROR(AVERAGEIFS(Mesures!$I:$I,Mesures!$F:$F,$A62,Mesures!$C:$C,AM$40),"")</f>
        <v/>
      </c>
      <c r="AN62" s="3">
        <f>IFERROR(AVERAGEIFS(Mesures!$I:$I,Mesures!$F:$F,$A62,Mesures!$C:$C,AN$40),"")</f>
        <v/>
      </c>
      <c r="AO62" s="3">
        <f>IFERROR(AVERAGEIFS(Mesures!$I:$I,Mesures!$F:$F,$A62,Mesures!$C:$C,AO$40),"")</f>
        <v/>
      </c>
      <c r="AP62" s="3">
        <f>IFERROR(AVERAGEIFS(Mesures!$I:$I,Mesures!$F:$F,$A62,Mesures!$C:$C,AP$40),"")</f>
        <v/>
      </c>
      <c r="AQ62" s="3">
        <f>IFERROR(AVERAGEIFS(Mesures!$I:$I,Mesures!$F:$F,$A62,Mesures!$C:$C,AQ$40),"")</f>
        <v/>
      </c>
      <c r="AR62" s="3">
        <f>IFERROR(AVERAGEIFS(Mesures!$I:$I,Mesures!$F:$F,$A62,Mesures!$C:$C,AR$40),"")</f>
        <v/>
      </c>
      <c r="AS62" s="3">
        <f>IFERROR(AVERAGEIFS(Mesures!$I:$I,Mesures!$F:$F,$A62,Mesures!$C:$C,AS$40),"")</f>
        <v/>
      </c>
      <c r="AT62" s="3">
        <f>IFERROR(AVERAGEIFS(Mesures!$I:$I,Mesures!$F:$F,$A62,Mesures!$C:$C,AT$40),"")</f>
        <v/>
      </c>
      <c r="AU62" s="3">
        <f>IFERROR(AVERAGEIFS(Mesures!$I:$I,Mesures!$F:$F,$A62,Mesures!$C:$C,AU$40),"")</f>
        <v/>
      </c>
      <c r="AV62" s="3">
        <f>IFERROR(AVERAGEIFS(Mesures!$I:$I,Mesures!$F:$F,$A62,Mesures!$C:$C,AV$40),"")</f>
        <v/>
      </c>
      <c r="AW62" s="3">
        <f>IFERROR(AVERAGEIFS(Mesures!$I:$I,Mesures!$F:$F,$A62,Mesures!$C:$C,AW$40),"")</f>
        <v/>
      </c>
      <c r="AX62" s="3">
        <f>IFERROR(AVERAGEIFS(Mesures!$I:$I,Mesures!$F:$F,$A62,Mesures!$C:$C,AX$40),"")</f>
        <v/>
      </c>
      <c r="AY62" s="3">
        <f>IFERROR(AVERAGEIFS(Mesures!$I:$I,Mesures!$F:$F,$A62,Mesures!$C:$C,AY$40),"")</f>
        <v/>
      </c>
      <c r="AZ62" s="3">
        <f>IFERROR(AVERAGEIFS(Mesures!$I:$I,Mesures!$F:$F,$A62,Mesures!$C:$C,AZ$40),"")</f>
        <v/>
      </c>
      <c r="BA62" s="3">
        <f>IFERROR(AVERAGEIFS(Mesures!$I:$I,Mesures!$F:$F,$A62,Mesures!$C:$C,BA$40),"")</f>
        <v/>
      </c>
      <c r="BB62" s="3">
        <f>IFERROR(AVERAGEIFS(Mesures!$I:$I,Mesures!$F:$F,$A62,Mesures!$C:$C,BB$40),"")</f>
        <v/>
      </c>
      <c r="BC62" s="3">
        <f>IFERROR(AVERAGEIFS(Mesures!$I:$I,Mesures!$F:$F,$A62,Mesures!$C:$C,BC$40),"")</f>
        <v/>
      </c>
      <c r="BD62" s="3">
        <f>IFERROR(AVERAGEIFS(Mesures!$I:$I,Mesures!$F:$F,$A62,Mesures!$C:$C,BD$40),"")</f>
        <v/>
      </c>
      <c r="BE62" s="3">
        <f>IFERROR(AVERAGEIFS(Mesures!$I:$I,Mesures!$F:$F,$A62,Mesures!$C:$C,BE$40),"")</f>
        <v/>
      </c>
      <c r="BF62" s="3">
        <f>IFERROR(AVERAGEIFS(Mesures!$I:$I,Mesures!$F:$F,$A62,Mesures!$C:$C,BF$40),"")</f>
        <v/>
      </c>
    </row>
    <row r="63">
      <c r="A63" s="2" t="inlineStr">
        <is>
          <t>L4 200 x 8 traits separes / public</t>
        </is>
      </c>
      <c r="B63" s="3">
        <f>IFERROR(AVERAGEIFS(Mesures!$I:$I,Mesures!$F:$F,$A63,Mesures!$C:$C,B$40),"")</f>
        <v/>
      </c>
      <c r="C63" s="3">
        <f>IFERROR(AVERAGEIFS(Mesures!$I:$I,Mesures!$F:$F,$A63,Mesures!$C:$C,C$40),"")</f>
        <v/>
      </c>
      <c r="D63" s="3">
        <f>IFERROR(AVERAGEIFS(Mesures!$I:$I,Mesures!$F:$F,$A63,Mesures!$C:$C,D$40),"")</f>
        <v/>
      </c>
      <c r="E63" s="3">
        <f>IFERROR(AVERAGEIFS(Mesures!$I:$I,Mesures!$F:$F,$A63,Mesures!$C:$C,E$40),"")</f>
        <v/>
      </c>
      <c r="F63" s="3">
        <f>IFERROR(AVERAGEIFS(Mesures!$I:$I,Mesures!$F:$F,$A63,Mesures!$C:$C,F$40),"")</f>
        <v/>
      </c>
      <c r="G63" s="3">
        <f>IFERROR(AVERAGEIFS(Mesures!$I:$I,Mesures!$F:$F,$A63,Mesures!$C:$C,G$40),"")</f>
        <v/>
      </c>
      <c r="H63" s="3">
        <f>IFERROR(AVERAGEIFS(Mesures!$I:$I,Mesures!$F:$F,$A63,Mesures!$C:$C,H$40),"")</f>
        <v/>
      </c>
      <c r="I63" s="3">
        <f>IFERROR(AVERAGEIFS(Mesures!$I:$I,Mesures!$F:$F,$A63,Mesures!$C:$C,I$40),"")</f>
        <v/>
      </c>
      <c r="J63" s="3">
        <f>IFERROR(AVERAGEIFS(Mesures!$I:$I,Mesures!$F:$F,$A63,Mesures!$C:$C,J$40),"")</f>
        <v/>
      </c>
      <c r="K63" s="3">
        <f>IFERROR(AVERAGEIFS(Mesures!$I:$I,Mesures!$F:$F,$A63,Mesures!$C:$C,K$40),"")</f>
        <v/>
      </c>
      <c r="L63" s="3">
        <f>IFERROR(AVERAGEIFS(Mesures!$I:$I,Mesures!$F:$F,$A63,Mesures!$C:$C,L$40),"")</f>
        <v/>
      </c>
      <c r="M63" s="3">
        <f>IFERROR(AVERAGEIFS(Mesures!$I:$I,Mesures!$F:$F,$A63,Mesures!$C:$C,M$40),"")</f>
        <v/>
      </c>
      <c r="N63" s="3">
        <f>IFERROR(AVERAGEIFS(Mesures!$I:$I,Mesures!$F:$F,$A63,Mesures!$C:$C,N$40),"")</f>
        <v/>
      </c>
      <c r="O63" s="3">
        <f>IFERROR(AVERAGEIFS(Mesures!$I:$I,Mesures!$F:$F,$A63,Mesures!$C:$C,O$40),"")</f>
        <v/>
      </c>
      <c r="P63" s="3">
        <f>IFERROR(AVERAGEIFS(Mesures!$I:$I,Mesures!$F:$F,$A63,Mesures!$C:$C,P$40),"")</f>
        <v/>
      </c>
      <c r="Q63" s="3">
        <f>IFERROR(AVERAGEIFS(Mesures!$I:$I,Mesures!$F:$F,$A63,Mesures!$C:$C,Q$40),"")</f>
        <v/>
      </c>
      <c r="R63" s="3">
        <f>IFERROR(AVERAGEIFS(Mesures!$I:$I,Mesures!$F:$F,$A63,Mesures!$C:$C,R$40),"")</f>
        <v/>
      </c>
      <c r="S63" s="3">
        <f>IFERROR(AVERAGEIFS(Mesures!$I:$I,Mesures!$F:$F,$A63,Mesures!$C:$C,S$40),"")</f>
        <v/>
      </c>
      <c r="T63" s="3">
        <f>IFERROR(AVERAGEIFS(Mesures!$I:$I,Mesures!$F:$F,$A63,Mesures!$C:$C,T$40),"")</f>
        <v/>
      </c>
      <c r="U63" s="3">
        <f>IFERROR(AVERAGEIFS(Mesures!$I:$I,Mesures!$F:$F,$A63,Mesures!$C:$C,U$40),"")</f>
        <v/>
      </c>
      <c r="V63" s="3">
        <f>IFERROR(AVERAGEIFS(Mesures!$I:$I,Mesures!$F:$F,$A63,Mesures!$C:$C,V$40),"")</f>
        <v/>
      </c>
      <c r="W63" s="3">
        <f>IFERROR(AVERAGEIFS(Mesures!$I:$I,Mesures!$F:$F,$A63,Mesures!$C:$C,W$40),"")</f>
        <v/>
      </c>
      <c r="X63" s="3">
        <f>IFERROR(AVERAGEIFS(Mesures!$I:$I,Mesures!$F:$F,$A63,Mesures!$C:$C,X$40),"")</f>
        <v/>
      </c>
      <c r="Y63" s="3">
        <f>IFERROR(AVERAGEIFS(Mesures!$I:$I,Mesures!$F:$F,$A63,Mesures!$C:$C,Y$40),"")</f>
        <v/>
      </c>
      <c r="Z63" s="3">
        <f>IFERROR(AVERAGEIFS(Mesures!$I:$I,Mesures!$F:$F,$A63,Mesures!$C:$C,Z$40),"")</f>
        <v/>
      </c>
      <c r="AA63" s="3">
        <f>IFERROR(AVERAGEIFS(Mesures!$I:$I,Mesures!$F:$F,$A63,Mesures!$C:$C,AA$40),"")</f>
        <v/>
      </c>
      <c r="AB63" s="3">
        <f>IFERROR(AVERAGEIFS(Mesures!$I:$I,Mesures!$F:$F,$A63,Mesures!$C:$C,AB$40),"")</f>
        <v/>
      </c>
      <c r="AC63" s="3">
        <f>IFERROR(AVERAGEIFS(Mesures!$I:$I,Mesures!$F:$F,$A63,Mesures!$C:$C,AC$40),"")</f>
        <v/>
      </c>
      <c r="AD63" s="3">
        <f>IFERROR(AVERAGEIFS(Mesures!$I:$I,Mesures!$F:$F,$A63,Mesures!$C:$C,AD$40),"")</f>
        <v/>
      </c>
      <c r="AE63" s="3">
        <f>IFERROR(AVERAGEIFS(Mesures!$I:$I,Mesures!$F:$F,$A63,Mesures!$C:$C,AE$40),"")</f>
        <v/>
      </c>
      <c r="AF63" s="3">
        <f>IFERROR(AVERAGEIFS(Mesures!$I:$I,Mesures!$F:$F,$A63,Mesures!$C:$C,AF$40),"")</f>
        <v/>
      </c>
      <c r="AG63" s="3">
        <f>IFERROR(AVERAGEIFS(Mesures!$I:$I,Mesures!$F:$F,$A63,Mesures!$C:$C,AG$40),"")</f>
        <v/>
      </c>
      <c r="AH63" s="3">
        <f>IFERROR(AVERAGEIFS(Mesures!$I:$I,Mesures!$F:$F,$A63,Mesures!$C:$C,AH$40),"")</f>
        <v/>
      </c>
      <c r="AI63" s="3">
        <f>IFERROR(AVERAGEIFS(Mesures!$I:$I,Mesures!$F:$F,$A63,Mesures!$C:$C,AI$40),"")</f>
        <v/>
      </c>
      <c r="AJ63" s="3">
        <f>IFERROR(AVERAGEIFS(Mesures!$I:$I,Mesures!$F:$F,$A63,Mesures!$C:$C,AJ$40),"")</f>
        <v/>
      </c>
      <c r="AK63" s="3">
        <f>IFERROR(AVERAGEIFS(Mesures!$I:$I,Mesures!$F:$F,$A63,Mesures!$C:$C,AK$40),"")</f>
        <v/>
      </c>
      <c r="AL63" s="3">
        <f>IFERROR(AVERAGEIFS(Mesures!$I:$I,Mesures!$F:$F,$A63,Mesures!$C:$C,AL$40),"")</f>
        <v/>
      </c>
      <c r="AM63" s="3">
        <f>IFERROR(AVERAGEIFS(Mesures!$I:$I,Mesures!$F:$F,$A63,Mesures!$C:$C,AM$40),"")</f>
        <v/>
      </c>
      <c r="AN63" s="3">
        <f>IFERROR(AVERAGEIFS(Mesures!$I:$I,Mesures!$F:$F,$A63,Mesures!$C:$C,AN$40),"")</f>
        <v/>
      </c>
      <c r="AO63" s="3">
        <f>IFERROR(AVERAGEIFS(Mesures!$I:$I,Mesures!$F:$F,$A63,Mesures!$C:$C,AO$40),"")</f>
        <v/>
      </c>
      <c r="AP63" s="3">
        <f>IFERROR(AVERAGEIFS(Mesures!$I:$I,Mesures!$F:$F,$A63,Mesures!$C:$C,AP$40),"")</f>
        <v/>
      </c>
      <c r="AQ63" s="3">
        <f>IFERROR(AVERAGEIFS(Mesures!$I:$I,Mesures!$F:$F,$A63,Mesures!$C:$C,AQ$40),"")</f>
        <v/>
      </c>
      <c r="AR63" s="3">
        <f>IFERROR(AVERAGEIFS(Mesures!$I:$I,Mesures!$F:$F,$A63,Mesures!$C:$C,AR$40),"")</f>
        <v/>
      </c>
      <c r="AS63" s="3">
        <f>IFERROR(AVERAGEIFS(Mesures!$I:$I,Mesures!$F:$F,$A63,Mesures!$C:$C,AS$40),"")</f>
        <v/>
      </c>
      <c r="AT63" s="3">
        <f>IFERROR(AVERAGEIFS(Mesures!$I:$I,Mesures!$F:$F,$A63,Mesures!$C:$C,AT$40),"")</f>
        <v/>
      </c>
      <c r="AU63" s="3">
        <f>IFERROR(AVERAGEIFS(Mesures!$I:$I,Mesures!$F:$F,$A63,Mesures!$C:$C,AU$40),"")</f>
        <v/>
      </c>
      <c r="AV63" s="3">
        <f>IFERROR(AVERAGEIFS(Mesures!$I:$I,Mesures!$F:$F,$A63,Mesures!$C:$C,AV$40),"")</f>
        <v/>
      </c>
      <c r="AW63" s="3">
        <f>IFERROR(AVERAGEIFS(Mesures!$I:$I,Mesures!$F:$F,$A63,Mesures!$C:$C,AW$40),"")</f>
        <v/>
      </c>
      <c r="AX63" s="3">
        <f>IFERROR(AVERAGEIFS(Mesures!$I:$I,Mesures!$F:$F,$A63,Mesures!$C:$C,AX$40),"")</f>
        <v/>
      </c>
      <c r="AY63" s="3">
        <f>IFERROR(AVERAGEIFS(Mesures!$I:$I,Mesures!$F:$F,$A63,Mesures!$C:$C,AY$40),"")</f>
        <v/>
      </c>
      <c r="AZ63" s="3">
        <f>IFERROR(AVERAGEIFS(Mesures!$I:$I,Mesures!$F:$F,$A63,Mesures!$C:$C,AZ$40),"")</f>
        <v/>
      </c>
      <c r="BA63" s="3">
        <f>IFERROR(AVERAGEIFS(Mesures!$I:$I,Mesures!$F:$F,$A63,Mesures!$C:$C,BA$40),"")</f>
        <v/>
      </c>
      <c r="BB63" s="3">
        <f>IFERROR(AVERAGEIFS(Mesures!$I:$I,Mesures!$F:$F,$A63,Mesures!$C:$C,BB$40),"")</f>
        <v/>
      </c>
      <c r="BC63" s="3">
        <f>IFERROR(AVERAGEIFS(Mesures!$I:$I,Mesures!$F:$F,$A63,Mesures!$C:$C,BC$40),"")</f>
        <v/>
      </c>
      <c r="BD63" s="3">
        <f>IFERROR(AVERAGEIFS(Mesures!$I:$I,Mesures!$F:$F,$A63,Mesures!$C:$C,BD$40),"")</f>
        <v/>
      </c>
      <c r="BE63" s="3">
        <f>IFERROR(AVERAGEIFS(Mesures!$I:$I,Mesures!$F:$F,$A63,Mesures!$C:$C,BE$40),"")</f>
        <v/>
      </c>
      <c r="BF63" s="3">
        <f>IFERROR(AVERAGEIFS(Mesures!$I:$I,Mesures!$F:$F,$A63,Mesures!$C:$C,BF$40),"")</f>
        <v/>
      </c>
    </row>
    <row r="64">
      <c r="A64" s="2" t="inlineStr">
        <is>
          <t>L5 nappes en gros plan, fumee epaisse</t>
        </is>
      </c>
      <c r="B64" s="3">
        <f>IFERROR(AVERAGEIFS(Mesures!$I:$I,Mesures!$F:$F,$A64,Mesures!$C:$C,B$40),"")</f>
        <v/>
      </c>
      <c r="C64" s="3">
        <f>IFERROR(AVERAGEIFS(Mesures!$I:$I,Mesures!$F:$F,$A64,Mesures!$C:$C,C$40),"")</f>
        <v/>
      </c>
      <c r="D64" s="3">
        <f>IFERROR(AVERAGEIFS(Mesures!$I:$I,Mesures!$F:$F,$A64,Mesures!$C:$C,D$40),"")</f>
        <v/>
      </c>
      <c r="E64" s="3">
        <f>IFERROR(AVERAGEIFS(Mesures!$I:$I,Mesures!$F:$F,$A64,Mesures!$C:$C,E$40),"")</f>
        <v/>
      </c>
      <c r="F64" s="3">
        <f>IFERROR(AVERAGEIFS(Mesures!$I:$I,Mesures!$F:$F,$A64,Mesures!$C:$C,F$40),"")</f>
        <v/>
      </c>
      <c r="G64" s="3">
        <f>IFERROR(AVERAGEIFS(Mesures!$I:$I,Mesures!$F:$F,$A64,Mesures!$C:$C,G$40),"")</f>
        <v/>
      </c>
      <c r="H64" s="3">
        <f>IFERROR(AVERAGEIFS(Mesures!$I:$I,Mesures!$F:$F,$A64,Mesures!$C:$C,H$40),"")</f>
        <v/>
      </c>
      <c r="I64" s="3">
        <f>IFERROR(AVERAGEIFS(Mesures!$I:$I,Mesures!$F:$F,$A64,Mesures!$C:$C,I$40),"")</f>
        <v/>
      </c>
      <c r="J64" s="3">
        <f>IFERROR(AVERAGEIFS(Mesures!$I:$I,Mesures!$F:$F,$A64,Mesures!$C:$C,J$40),"")</f>
        <v/>
      </c>
      <c r="K64" s="3">
        <f>IFERROR(AVERAGEIFS(Mesures!$I:$I,Mesures!$F:$F,$A64,Mesures!$C:$C,K$40),"")</f>
        <v/>
      </c>
      <c r="L64" s="3">
        <f>IFERROR(AVERAGEIFS(Mesures!$I:$I,Mesures!$F:$F,$A64,Mesures!$C:$C,L$40),"")</f>
        <v/>
      </c>
      <c r="M64" s="3">
        <f>IFERROR(AVERAGEIFS(Mesures!$I:$I,Mesures!$F:$F,$A64,Mesures!$C:$C,M$40),"")</f>
        <v/>
      </c>
      <c r="N64" s="3">
        <f>IFERROR(AVERAGEIFS(Mesures!$I:$I,Mesures!$F:$F,$A64,Mesures!$C:$C,N$40),"")</f>
        <v/>
      </c>
      <c r="O64" s="3">
        <f>IFERROR(AVERAGEIFS(Mesures!$I:$I,Mesures!$F:$F,$A64,Mesures!$C:$C,O$40),"")</f>
        <v/>
      </c>
      <c r="P64" s="3">
        <f>IFERROR(AVERAGEIFS(Mesures!$I:$I,Mesures!$F:$F,$A64,Mesures!$C:$C,P$40),"")</f>
        <v/>
      </c>
      <c r="Q64" s="3">
        <f>IFERROR(AVERAGEIFS(Mesures!$I:$I,Mesures!$F:$F,$A64,Mesures!$C:$C,Q$40),"")</f>
        <v/>
      </c>
      <c r="R64" s="3">
        <f>IFERROR(AVERAGEIFS(Mesures!$I:$I,Mesures!$F:$F,$A64,Mesures!$C:$C,R$40),"")</f>
        <v/>
      </c>
      <c r="S64" s="3">
        <f>IFERROR(AVERAGEIFS(Mesures!$I:$I,Mesures!$F:$F,$A64,Mesures!$C:$C,S$40),"")</f>
        <v/>
      </c>
      <c r="T64" s="3">
        <f>IFERROR(AVERAGEIFS(Mesures!$I:$I,Mesures!$F:$F,$A64,Mesures!$C:$C,T$40),"")</f>
        <v/>
      </c>
      <c r="U64" s="3">
        <f>IFERROR(AVERAGEIFS(Mesures!$I:$I,Mesures!$F:$F,$A64,Mesures!$C:$C,U$40),"")</f>
        <v/>
      </c>
      <c r="V64" s="3">
        <f>IFERROR(AVERAGEIFS(Mesures!$I:$I,Mesures!$F:$F,$A64,Mesures!$C:$C,V$40),"")</f>
        <v/>
      </c>
      <c r="W64" s="3">
        <f>IFERROR(AVERAGEIFS(Mesures!$I:$I,Mesures!$F:$F,$A64,Mesures!$C:$C,W$40),"")</f>
        <v/>
      </c>
      <c r="X64" s="3">
        <f>IFERROR(AVERAGEIFS(Mesures!$I:$I,Mesures!$F:$F,$A64,Mesures!$C:$C,X$40),"")</f>
        <v/>
      </c>
      <c r="Y64" s="3">
        <f>IFERROR(AVERAGEIFS(Mesures!$I:$I,Mesures!$F:$F,$A64,Mesures!$C:$C,Y$40),"")</f>
        <v/>
      </c>
      <c r="Z64" s="3">
        <f>IFERROR(AVERAGEIFS(Mesures!$I:$I,Mesures!$F:$F,$A64,Mesures!$C:$C,Z$40),"")</f>
        <v/>
      </c>
      <c r="AA64" s="3">
        <f>IFERROR(AVERAGEIFS(Mesures!$I:$I,Mesures!$F:$F,$A64,Mesures!$C:$C,AA$40),"")</f>
        <v/>
      </c>
      <c r="AB64" s="3">
        <f>IFERROR(AVERAGEIFS(Mesures!$I:$I,Mesures!$F:$F,$A64,Mesures!$C:$C,AB$40),"")</f>
        <v/>
      </c>
      <c r="AC64" s="3">
        <f>IFERROR(AVERAGEIFS(Mesures!$I:$I,Mesures!$F:$F,$A64,Mesures!$C:$C,AC$40),"")</f>
        <v/>
      </c>
      <c r="AD64" s="3">
        <f>IFERROR(AVERAGEIFS(Mesures!$I:$I,Mesures!$F:$F,$A64,Mesures!$C:$C,AD$40),"")</f>
        <v/>
      </c>
      <c r="AE64" s="3">
        <f>IFERROR(AVERAGEIFS(Mesures!$I:$I,Mesures!$F:$F,$A64,Mesures!$C:$C,AE$40),"")</f>
        <v/>
      </c>
      <c r="AF64" s="3">
        <f>IFERROR(AVERAGEIFS(Mesures!$I:$I,Mesures!$F:$F,$A64,Mesures!$C:$C,AF$40),"")</f>
        <v/>
      </c>
      <c r="AG64" s="3">
        <f>IFERROR(AVERAGEIFS(Mesures!$I:$I,Mesures!$F:$F,$A64,Mesures!$C:$C,AG$40),"")</f>
        <v/>
      </c>
      <c r="AH64" s="3">
        <f>IFERROR(AVERAGEIFS(Mesures!$I:$I,Mesures!$F:$F,$A64,Mesures!$C:$C,AH$40),"")</f>
        <v/>
      </c>
      <c r="AI64" s="3">
        <f>IFERROR(AVERAGEIFS(Mesures!$I:$I,Mesures!$F:$F,$A64,Mesures!$C:$C,AI$40),"")</f>
        <v/>
      </c>
      <c r="AJ64" s="3">
        <f>IFERROR(AVERAGEIFS(Mesures!$I:$I,Mesures!$F:$F,$A64,Mesures!$C:$C,AJ$40),"")</f>
        <v/>
      </c>
      <c r="AK64" s="3">
        <f>IFERROR(AVERAGEIFS(Mesures!$I:$I,Mesures!$F:$F,$A64,Mesures!$C:$C,AK$40),"")</f>
        <v/>
      </c>
      <c r="AL64" s="3">
        <f>IFERROR(AVERAGEIFS(Mesures!$I:$I,Mesures!$F:$F,$A64,Mesures!$C:$C,AL$40),"")</f>
        <v/>
      </c>
      <c r="AM64" s="3">
        <f>IFERROR(AVERAGEIFS(Mesures!$I:$I,Mesures!$F:$F,$A64,Mesures!$C:$C,AM$40),"")</f>
        <v/>
      </c>
      <c r="AN64" s="3">
        <f>IFERROR(AVERAGEIFS(Mesures!$I:$I,Mesures!$F:$F,$A64,Mesures!$C:$C,AN$40),"")</f>
        <v/>
      </c>
      <c r="AO64" s="3">
        <f>IFERROR(AVERAGEIFS(Mesures!$I:$I,Mesures!$F:$F,$A64,Mesures!$C:$C,AO$40),"")</f>
        <v/>
      </c>
      <c r="AP64" s="3">
        <f>IFERROR(AVERAGEIFS(Mesures!$I:$I,Mesures!$F:$F,$A64,Mesures!$C:$C,AP$40),"")</f>
        <v/>
      </c>
      <c r="AQ64" s="3">
        <f>IFERROR(AVERAGEIFS(Mesures!$I:$I,Mesures!$F:$F,$A64,Mesures!$C:$C,AQ$40),"")</f>
        <v/>
      </c>
      <c r="AR64" s="3">
        <f>IFERROR(AVERAGEIFS(Mesures!$I:$I,Mesures!$F:$F,$A64,Mesures!$C:$C,AR$40),"")</f>
        <v/>
      </c>
      <c r="AS64" s="3">
        <f>IFERROR(AVERAGEIFS(Mesures!$I:$I,Mesures!$F:$F,$A64,Mesures!$C:$C,AS$40),"")</f>
        <v/>
      </c>
      <c r="AT64" s="3">
        <f>IFERROR(AVERAGEIFS(Mesures!$I:$I,Mesures!$F:$F,$A64,Mesures!$C:$C,AT$40),"")</f>
        <v/>
      </c>
      <c r="AU64" s="3">
        <f>IFERROR(AVERAGEIFS(Mesures!$I:$I,Mesures!$F:$F,$A64,Mesures!$C:$C,AU$40),"")</f>
        <v/>
      </c>
      <c r="AV64" s="3">
        <f>IFERROR(AVERAGEIFS(Mesures!$I:$I,Mesures!$F:$F,$A64,Mesures!$C:$C,AV$40),"")</f>
        <v/>
      </c>
      <c r="AW64" s="3">
        <f>IFERROR(AVERAGEIFS(Mesures!$I:$I,Mesures!$F:$F,$A64,Mesures!$C:$C,AW$40),"")</f>
        <v/>
      </c>
      <c r="AX64" s="3">
        <f>IFERROR(AVERAGEIFS(Mesures!$I:$I,Mesures!$F:$F,$A64,Mesures!$C:$C,AX$40),"")</f>
        <v/>
      </c>
      <c r="AY64" s="3">
        <f>IFERROR(AVERAGEIFS(Mesures!$I:$I,Mesures!$F:$F,$A64,Mesures!$C:$C,AY$40),"")</f>
        <v/>
      </c>
      <c r="AZ64" s="3">
        <f>IFERROR(AVERAGEIFS(Mesures!$I:$I,Mesures!$F:$F,$A64,Mesures!$C:$C,AZ$40),"")</f>
        <v/>
      </c>
      <c r="BA64" s="3">
        <f>IFERROR(AVERAGEIFS(Mesures!$I:$I,Mesures!$F:$F,$A64,Mesures!$C:$C,BA$40),"")</f>
        <v/>
      </c>
      <c r="BB64" s="3">
        <f>IFERROR(AVERAGEIFS(Mesures!$I:$I,Mesures!$F:$F,$A64,Mesures!$C:$C,BB$40),"")</f>
        <v/>
      </c>
      <c r="BC64" s="3">
        <f>IFERROR(AVERAGEIFS(Mesures!$I:$I,Mesures!$F:$F,$A64,Mesures!$C:$C,BC$40),"")</f>
        <v/>
      </c>
      <c r="BD64" s="3">
        <f>IFERROR(AVERAGEIFS(Mesures!$I:$I,Mesures!$F:$F,$A64,Mesures!$C:$C,BD$40),"")</f>
        <v/>
      </c>
      <c r="BE64" s="3">
        <f>IFERROR(AVERAGEIFS(Mesures!$I:$I,Mesures!$F:$F,$A64,Mesures!$C:$C,BE$40),"")</f>
        <v/>
      </c>
      <c r="BF64" s="3">
        <f>IFERROR(AVERAGEIFS(Mesures!$I:$I,Mesures!$F:$F,$A64,Mesures!$C:$C,BF$40),"")</f>
        <v/>
      </c>
    </row>
    <row r="65">
      <c r="A65" s="2" t="inlineStr">
        <is>
          <t>L6 traits vers le sol et les obstacles / public</t>
        </is>
      </c>
      <c r="B65" s="3">
        <f>IFERROR(AVERAGEIFS(Mesures!$I:$I,Mesures!$F:$F,$A65,Mesures!$C:$C,B$40),"")</f>
        <v/>
      </c>
      <c r="C65" s="3">
        <f>IFERROR(AVERAGEIFS(Mesures!$I:$I,Mesures!$F:$F,$A65,Mesures!$C:$C,C$40),"")</f>
        <v/>
      </c>
      <c r="D65" s="3">
        <f>IFERROR(AVERAGEIFS(Mesures!$I:$I,Mesures!$F:$F,$A65,Mesures!$C:$C,D$40),"")</f>
        <v/>
      </c>
      <c r="E65" s="3">
        <f>IFERROR(AVERAGEIFS(Mesures!$I:$I,Mesures!$F:$F,$A65,Mesures!$C:$C,E$40),"")</f>
        <v/>
      </c>
      <c r="F65" s="3">
        <f>IFERROR(AVERAGEIFS(Mesures!$I:$I,Mesures!$F:$F,$A65,Mesures!$C:$C,F$40),"")</f>
        <v/>
      </c>
      <c r="G65" s="3">
        <f>IFERROR(AVERAGEIFS(Mesures!$I:$I,Mesures!$F:$F,$A65,Mesures!$C:$C,G$40),"")</f>
        <v/>
      </c>
      <c r="H65" s="3">
        <f>IFERROR(AVERAGEIFS(Mesures!$I:$I,Mesures!$F:$F,$A65,Mesures!$C:$C,H$40),"")</f>
        <v/>
      </c>
      <c r="I65" s="3">
        <f>IFERROR(AVERAGEIFS(Mesures!$I:$I,Mesures!$F:$F,$A65,Mesures!$C:$C,I$40),"")</f>
        <v/>
      </c>
      <c r="J65" s="3">
        <f>IFERROR(AVERAGEIFS(Mesures!$I:$I,Mesures!$F:$F,$A65,Mesures!$C:$C,J$40),"")</f>
        <v/>
      </c>
      <c r="K65" s="3">
        <f>IFERROR(AVERAGEIFS(Mesures!$I:$I,Mesures!$F:$F,$A65,Mesures!$C:$C,K$40),"")</f>
        <v/>
      </c>
      <c r="L65" s="3">
        <f>IFERROR(AVERAGEIFS(Mesures!$I:$I,Mesures!$F:$F,$A65,Mesures!$C:$C,L$40),"")</f>
        <v/>
      </c>
      <c r="M65" s="3">
        <f>IFERROR(AVERAGEIFS(Mesures!$I:$I,Mesures!$F:$F,$A65,Mesures!$C:$C,M$40),"")</f>
        <v/>
      </c>
      <c r="N65" s="3">
        <f>IFERROR(AVERAGEIFS(Mesures!$I:$I,Mesures!$F:$F,$A65,Mesures!$C:$C,N$40),"")</f>
        <v/>
      </c>
      <c r="O65" s="3">
        <f>IFERROR(AVERAGEIFS(Mesures!$I:$I,Mesures!$F:$F,$A65,Mesures!$C:$C,O$40),"")</f>
        <v/>
      </c>
      <c r="P65" s="3">
        <f>IFERROR(AVERAGEIFS(Mesures!$I:$I,Mesures!$F:$F,$A65,Mesures!$C:$C,P$40),"")</f>
        <v/>
      </c>
      <c r="Q65" s="3">
        <f>IFERROR(AVERAGEIFS(Mesures!$I:$I,Mesures!$F:$F,$A65,Mesures!$C:$C,Q$40),"")</f>
        <v/>
      </c>
      <c r="R65" s="3">
        <f>IFERROR(AVERAGEIFS(Mesures!$I:$I,Mesures!$F:$F,$A65,Mesures!$C:$C,R$40),"")</f>
        <v/>
      </c>
      <c r="S65" s="3">
        <f>IFERROR(AVERAGEIFS(Mesures!$I:$I,Mesures!$F:$F,$A65,Mesures!$C:$C,S$40),"")</f>
        <v/>
      </c>
      <c r="T65" s="3">
        <f>IFERROR(AVERAGEIFS(Mesures!$I:$I,Mesures!$F:$F,$A65,Mesures!$C:$C,T$40),"")</f>
        <v/>
      </c>
      <c r="U65" s="3">
        <f>IFERROR(AVERAGEIFS(Mesures!$I:$I,Mesures!$F:$F,$A65,Mesures!$C:$C,U$40),"")</f>
        <v/>
      </c>
      <c r="V65" s="3">
        <f>IFERROR(AVERAGEIFS(Mesures!$I:$I,Mesures!$F:$F,$A65,Mesures!$C:$C,V$40),"")</f>
        <v/>
      </c>
      <c r="W65" s="3">
        <f>IFERROR(AVERAGEIFS(Mesures!$I:$I,Mesures!$F:$F,$A65,Mesures!$C:$C,W$40),"")</f>
        <v/>
      </c>
      <c r="X65" s="3">
        <f>IFERROR(AVERAGEIFS(Mesures!$I:$I,Mesures!$F:$F,$A65,Mesures!$C:$C,X$40),"")</f>
        <v/>
      </c>
      <c r="Y65" s="3">
        <f>IFERROR(AVERAGEIFS(Mesures!$I:$I,Mesures!$F:$F,$A65,Mesures!$C:$C,Y$40),"")</f>
        <v/>
      </c>
      <c r="Z65" s="3">
        <f>IFERROR(AVERAGEIFS(Mesures!$I:$I,Mesures!$F:$F,$A65,Mesures!$C:$C,Z$40),"")</f>
        <v/>
      </c>
      <c r="AA65" s="3">
        <f>IFERROR(AVERAGEIFS(Mesures!$I:$I,Mesures!$F:$F,$A65,Mesures!$C:$C,AA$40),"")</f>
        <v/>
      </c>
      <c r="AB65" s="3">
        <f>IFERROR(AVERAGEIFS(Mesures!$I:$I,Mesures!$F:$F,$A65,Mesures!$C:$C,AB$40),"")</f>
        <v/>
      </c>
      <c r="AC65" s="3">
        <f>IFERROR(AVERAGEIFS(Mesures!$I:$I,Mesures!$F:$F,$A65,Mesures!$C:$C,AC$40),"")</f>
        <v/>
      </c>
      <c r="AD65" s="3">
        <f>IFERROR(AVERAGEIFS(Mesures!$I:$I,Mesures!$F:$F,$A65,Mesures!$C:$C,AD$40),"")</f>
        <v/>
      </c>
      <c r="AE65" s="3">
        <f>IFERROR(AVERAGEIFS(Mesures!$I:$I,Mesures!$F:$F,$A65,Mesures!$C:$C,AE$40),"")</f>
        <v/>
      </c>
      <c r="AF65" s="3">
        <f>IFERROR(AVERAGEIFS(Mesures!$I:$I,Mesures!$F:$F,$A65,Mesures!$C:$C,AF$40),"")</f>
        <v/>
      </c>
      <c r="AG65" s="3">
        <f>IFERROR(AVERAGEIFS(Mesures!$I:$I,Mesures!$F:$F,$A65,Mesures!$C:$C,AG$40),"")</f>
        <v/>
      </c>
      <c r="AH65" s="3">
        <f>IFERROR(AVERAGEIFS(Mesures!$I:$I,Mesures!$F:$F,$A65,Mesures!$C:$C,AH$40),"")</f>
        <v/>
      </c>
      <c r="AI65" s="3">
        <f>IFERROR(AVERAGEIFS(Mesures!$I:$I,Mesures!$F:$F,$A65,Mesures!$C:$C,AI$40),"")</f>
        <v/>
      </c>
      <c r="AJ65" s="3">
        <f>IFERROR(AVERAGEIFS(Mesures!$I:$I,Mesures!$F:$F,$A65,Mesures!$C:$C,AJ$40),"")</f>
        <v/>
      </c>
      <c r="AK65" s="3">
        <f>IFERROR(AVERAGEIFS(Mesures!$I:$I,Mesures!$F:$F,$A65,Mesures!$C:$C,AK$40),"")</f>
        <v/>
      </c>
      <c r="AL65" s="3">
        <f>IFERROR(AVERAGEIFS(Mesures!$I:$I,Mesures!$F:$F,$A65,Mesures!$C:$C,AL$40),"")</f>
        <v/>
      </c>
      <c r="AM65" s="3">
        <f>IFERROR(AVERAGEIFS(Mesures!$I:$I,Mesures!$F:$F,$A65,Mesures!$C:$C,AM$40),"")</f>
        <v/>
      </c>
      <c r="AN65" s="3">
        <f>IFERROR(AVERAGEIFS(Mesures!$I:$I,Mesures!$F:$F,$A65,Mesures!$C:$C,AN$40),"")</f>
        <v/>
      </c>
      <c r="AO65" s="3">
        <f>IFERROR(AVERAGEIFS(Mesures!$I:$I,Mesures!$F:$F,$A65,Mesures!$C:$C,AO$40),"")</f>
        <v/>
      </c>
      <c r="AP65" s="3">
        <f>IFERROR(AVERAGEIFS(Mesures!$I:$I,Mesures!$F:$F,$A65,Mesures!$C:$C,AP$40),"")</f>
        <v/>
      </c>
      <c r="AQ65" s="3">
        <f>IFERROR(AVERAGEIFS(Mesures!$I:$I,Mesures!$F:$F,$A65,Mesures!$C:$C,AQ$40),"")</f>
        <v/>
      </c>
      <c r="AR65" s="3">
        <f>IFERROR(AVERAGEIFS(Mesures!$I:$I,Mesures!$F:$F,$A65,Mesures!$C:$C,AR$40),"")</f>
        <v/>
      </c>
      <c r="AS65" s="3">
        <f>IFERROR(AVERAGEIFS(Mesures!$I:$I,Mesures!$F:$F,$A65,Mesures!$C:$C,AS$40),"")</f>
        <v/>
      </c>
      <c r="AT65" s="3">
        <f>IFERROR(AVERAGEIFS(Mesures!$I:$I,Mesures!$F:$F,$A65,Mesures!$C:$C,AT$40),"")</f>
        <v/>
      </c>
      <c r="AU65" s="3">
        <f>IFERROR(AVERAGEIFS(Mesures!$I:$I,Mesures!$F:$F,$A65,Mesures!$C:$C,AU$40),"")</f>
        <v/>
      </c>
      <c r="AV65" s="3">
        <f>IFERROR(AVERAGEIFS(Mesures!$I:$I,Mesures!$F:$F,$A65,Mesures!$C:$C,AV$40),"")</f>
        <v/>
      </c>
      <c r="AW65" s="3">
        <f>IFERROR(AVERAGEIFS(Mesures!$I:$I,Mesures!$F:$F,$A65,Mesures!$C:$C,AW$40),"")</f>
        <v/>
      </c>
      <c r="AX65" s="3">
        <f>IFERROR(AVERAGEIFS(Mesures!$I:$I,Mesures!$F:$F,$A65,Mesures!$C:$C,AX$40),"")</f>
        <v/>
      </c>
      <c r="AY65" s="3">
        <f>IFERROR(AVERAGEIFS(Mesures!$I:$I,Mesures!$F:$F,$A65,Mesures!$C:$C,AY$40),"")</f>
        <v/>
      </c>
      <c r="AZ65" s="3">
        <f>IFERROR(AVERAGEIFS(Mesures!$I:$I,Mesures!$F:$F,$A65,Mesures!$C:$C,AZ$40),"")</f>
        <v/>
      </c>
      <c r="BA65" s="3">
        <f>IFERROR(AVERAGEIFS(Mesures!$I:$I,Mesures!$F:$F,$A65,Mesures!$C:$C,BA$40),"")</f>
        <v/>
      </c>
      <c r="BB65" s="3">
        <f>IFERROR(AVERAGEIFS(Mesures!$I:$I,Mesures!$F:$F,$A65,Mesures!$C:$C,BB$40),"")</f>
        <v/>
      </c>
      <c r="BC65" s="3">
        <f>IFERROR(AVERAGEIFS(Mesures!$I:$I,Mesures!$F:$F,$A65,Mesures!$C:$C,BC$40),"")</f>
        <v/>
      </c>
      <c r="BD65" s="3">
        <f>IFERROR(AVERAGEIFS(Mesures!$I:$I,Mesures!$F:$F,$A65,Mesures!$C:$C,BD$40),"")</f>
        <v/>
      </c>
      <c r="BE65" s="3">
        <f>IFERROR(AVERAGEIFS(Mesures!$I:$I,Mesures!$F:$F,$A65,Mesures!$C:$C,BE$40),"")</f>
        <v/>
      </c>
      <c r="BF65" s="3">
        <f>IFERROR(AVERAGEIFS(Mesures!$I:$I,Mesures!$F:$F,$A65,Mesures!$C:$C,BF$40),"")</f>
        <v/>
      </c>
    </row>
    <row r="66">
      <c r="A66" s="2" t="inlineStr">
        <is>
          <t>M1 100 lyres + 100 lasers / public</t>
        </is>
      </c>
      <c r="B66" s="3">
        <f>IFERROR(AVERAGEIFS(Mesures!$I:$I,Mesures!$F:$F,$A66,Mesures!$C:$C,B$40),"")</f>
        <v/>
      </c>
      <c r="C66" s="3">
        <f>IFERROR(AVERAGEIFS(Mesures!$I:$I,Mesures!$F:$F,$A66,Mesures!$C:$C,C$40),"")</f>
        <v/>
      </c>
      <c r="D66" s="3">
        <f>IFERROR(AVERAGEIFS(Mesures!$I:$I,Mesures!$F:$F,$A66,Mesures!$C:$C,D$40),"")</f>
        <v/>
      </c>
      <c r="E66" s="3">
        <f>IFERROR(AVERAGEIFS(Mesures!$I:$I,Mesures!$F:$F,$A66,Mesures!$C:$C,E$40),"")</f>
        <v/>
      </c>
      <c r="F66" s="3">
        <f>IFERROR(AVERAGEIFS(Mesures!$I:$I,Mesures!$F:$F,$A66,Mesures!$C:$C,F$40),"")</f>
        <v/>
      </c>
      <c r="G66" s="3">
        <f>IFERROR(AVERAGEIFS(Mesures!$I:$I,Mesures!$F:$F,$A66,Mesures!$C:$C,G$40),"")</f>
        <v/>
      </c>
      <c r="H66" s="3">
        <f>IFERROR(AVERAGEIFS(Mesures!$I:$I,Mesures!$F:$F,$A66,Mesures!$C:$C,H$40),"")</f>
        <v/>
      </c>
      <c r="I66" s="3">
        <f>IFERROR(AVERAGEIFS(Mesures!$I:$I,Mesures!$F:$F,$A66,Mesures!$C:$C,I$40),"")</f>
        <v/>
      </c>
      <c r="J66" s="3">
        <f>IFERROR(AVERAGEIFS(Mesures!$I:$I,Mesures!$F:$F,$A66,Mesures!$C:$C,J$40),"")</f>
        <v/>
      </c>
      <c r="K66" s="3">
        <f>IFERROR(AVERAGEIFS(Mesures!$I:$I,Mesures!$F:$F,$A66,Mesures!$C:$C,K$40),"")</f>
        <v/>
      </c>
      <c r="L66" s="3">
        <f>IFERROR(AVERAGEIFS(Mesures!$I:$I,Mesures!$F:$F,$A66,Mesures!$C:$C,L$40),"")</f>
        <v/>
      </c>
      <c r="M66" s="3">
        <f>IFERROR(AVERAGEIFS(Mesures!$I:$I,Mesures!$F:$F,$A66,Mesures!$C:$C,M$40),"")</f>
        <v/>
      </c>
      <c r="N66" s="3">
        <f>IFERROR(AVERAGEIFS(Mesures!$I:$I,Mesures!$F:$F,$A66,Mesures!$C:$C,N$40),"")</f>
        <v/>
      </c>
      <c r="O66" s="3">
        <f>IFERROR(AVERAGEIFS(Mesures!$I:$I,Mesures!$F:$F,$A66,Mesures!$C:$C,O$40),"")</f>
        <v/>
      </c>
      <c r="P66" s="3">
        <f>IFERROR(AVERAGEIFS(Mesures!$I:$I,Mesures!$F:$F,$A66,Mesures!$C:$C,P$40),"")</f>
        <v/>
      </c>
      <c r="Q66" s="3">
        <f>IFERROR(AVERAGEIFS(Mesures!$I:$I,Mesures!$F:$F,$A66,Mesures!$C:$C,Q$40),"")</f>
        <v/>
      </c>
      <c r="R66" s="3">
        <f>IFERROR(AVERAGEIFS(Mesures!$I:$I,Mesures!$F:$F,$A66,Mesures!$C:$C,R$40),"")</f>
        <v/>
      </c>
      <c r="S66" s="3">
        <f>IFERROR(AVERAGEIFS(Mesures!$I:$I,Mesures!$F:$F,$A66,Mesures!$C:$C,S$40),"")</f>
        <v/>
      </c>
      <c r="T66" s="3">
        <f>IFERROR(AVERAGEIFS(Mesures!$I:$I,Mesures!$F:$F,$A66,Mesures!$C:$C,T$40),"")</f>
        <v/>
      </c>
      <c r="U66" s="3">
        <f>IFERROR(AVERAGEIFS(Mesures!$I:$I,Mesures!$F:$F,$A66,Mesures!$C:$C,U$40),"")</f>
        <v/>
      </c>
      <c r="V66" s="3">
        <f>IFERROR(AVERAGEIFS(Mesures!$I:$I,Mesures!$F:$F,$A66,Mesures!$C:$C,V$40),"")</f>
        <v/>
      </c>
      <c r="W66" s="3">
        <f>IFERROR(AVERAGEIFS(Mesures!$I:$I,Mesures!$F:$F,$A66,Mesures!$C:$C,W$40),"")</f>
        <v/>
      </c>
      <c r="X66" s="3">
        <f>IFERROR(AVERAGEIFS(Mesures!$I:$I,Mesures!$F:$F,$A66,Mesures!$C:$C,X$40),"")</f>
        <v/>
      </c>
      <c r="Y66" s="3">
        <f>IFERROR(AVERAGEIFS(Mesures!$I:$I,Mesures!$F:$F,$A66,Mesures!$C:$C,Y$40),"")</f>
        <v/>
      </c>
      <c r="Z66" s="3">
        <f>IFERROR(AVERAGEIFS(Mesures!$I:$I,Mesures!$F:$F,$A66,Mesures!$C:$C,Z$40),"")</f>
        <v/>
      </c>
      <c r="AA66" s="3">
        <f>IFERROR(AVERAGEIFS(Mesures!$I:$I,Mesures!$F:$F,$A66,Mesures!$C:$C,AA$40),"")</f>
        <v/>
      </c>
      <c r="AB66" s="3">
        <f>IFERROR(AVERAGEIFS(Mesures!$I:$I,Mesures!$F:$F,$A66,Mesures!$C:$C,AB$40),"")</f>
        <v/>
      </c>
      <c r="AC66" s="3">
        <f>IFERROR(AVERAGEIFS(Mesures!$I:$I,Mesures!$F:$F,$A66,Mesures!$C:$C,AC$40),"")</f>
        <v/>
      </c>
      <c r="AD66" s="3">
        <f>IFERROR(AVERAGEIFS(Mesures!$I:$I,Mesures!$F:$F,$A66,Mesures!$C:$C,AD$40),"")</f>
        <v/>
      </c>
      <c r="AE66" s="3">
        <f>IFERROR(AVERAGEIFS(Mesures!$I:$I,Mesures!$F:$F,$A66,Mesures!$C:$C,AE$40),"")</f>
        <v/>
      </c>
      <c r="AF66" s="3">
        <f>IFERROR(AVERAGEIFS(Mesures!$I:$I,Mesures!$F:$F,$A66,Mesures!$C:$C,AF$40),"")</f>
        <v/>
      </c>
      <c r="AG66" s="3">
        <f>IFERROR(AVERAGEIFS(Mesures!$I:$I,Mesures!$F:$F,$A66,Mesures!$C:$C,AG$40),"")</f>
        <v/>
      </c>
      <c r="AH66" s="3">
        <f>IFERROR(AVERAGEIFS(Mesures!$I:$I,Mesures!$F:$F,$A66,Mesures!$C:$C,AH$40),"")</f>
        <v/>
      </c>
      <c r="AI66" s="3">
        <f>IFERROR(AVERAGEIFS(Mesures!$I:$I,Mesures!$F:$F,$A66,Mesures!$C:$C,AI$40),"")</f>
        <v/>
      </c>
      <c r="AJ66" s="3">
        <f>IFERROR(AVERAGEIFS(Mesures!$I:$I,Mesures!$F:$F,$A66,Mesures!$C:$C,AJ$40),"")</f>
        <v/>
      </c>
      <c r="AK66" s="3">
        <f>IFERROR(AVERAGEIFS(Mesures!$I:$I,Mesures!$F:$F,$A66,Mesures!$C:$C,AK$40),"")</f>
        <v/>
      </c>
      <c r="AL66" s="3">
        <f>IFERROR(AVERAGEIFS(Mesures!$I:$I,Mesures!$F:$F,$A66,Mesures!$C:$C,AL$40),"")</f>
        <v/>
      </c>
      <c r="AM66" s="3">
        <f>IFERROR(AVERAGEIFS(Mesures!$I:$I,Mesures!$F:$F,$A66,Mesures!$C:$C,AM$40),"")</f>
        <v/>
      </c>
      <c r="AN66" s="3">
        <f>IFERROR(AVERAGEIFS(Mesures!$I:$I,Mesures!$F:$F,$A66,Mesures!$C:$C,AN$40),"")</f>
        <v/>
      </c>
      <c r="AO66" s="3">
        <f>IFERROR(AVERAGEIFS(Mesures!$I:$I,Mesures!$F:$F,$A66,Mesures!$C:$C,AO$40),"")</f>
        <v/>
      </c>
      <c r="AP66" s="3">
        <f>IFERROR(AVERAGEIFS(Mesures!$I:$I,Mesures!$F:$F,$A66,Mesures!$C:$C,AP$40),"")</f>
        <v/>
      </c>
      <c r="AQ66" s="3">
        <f>IFERROR(AVERAGEIFS(Mesures!$I:$I,Mesures!$F:$F,$A66,Mesures!$C:$C,AQ$40),"")</f>
        <v/>
      </c>
      <c r="AR66" s="3">
        <f>IFERROR(AVERAGEIFS(Mesures!$I:$I,Mesures!$F:$F,$A66,Mesures!$C:$C,AR$40),"")</f>
        <v/>
      </c>
      <c r="AS66" s="3">
        <f>IFERROR(AVERAGEIFS(Mesures!$I:$I,Mesures!$F:$F,$A66,Mesures!$C:$C,AS$40),"")</f>
        <v/>
      </c>
      <c r="AT66" s="3">
        <f>IFERROR(AVERAGEIFS(Mesures!$I:$I,Mesures!$F:$F,$A66,Mesures!$C:$C,AT$40),"")</f>
        <v/>
      </c>
      <c r="AU66" s="3">
        <f>IFERROR(AVERAGEIFS(Mesures!$I:$I,Mesures!$F:$F,$A66,Mesures!$C:$C,AU$40),"")</f>
        <v/>
      </c>
      <c r="AV66" s="3">
        <f>IFERROR(AVERAGEIFS(Mesures!$I:$I,Mesures!$F:$F,$A66,Mesures!$C:$C,AV$40),"")</f>
        <v/>
      </c>
      <c r="AW66" s="3">
        <f>IFERROR(AVERAGEIFS(Mesures!$I:$I,Mesures!$F:$F,$A66,Mesures!$C:$C,AW$40),"")</f>
        <v/>
      </c>
      <c r="AX66" s="3">
        <f>IFERROR(AVERAGEIFS(Mesures!$I:$I,Mesures!$F:$F,$A66,Mesures!$C:$C,AX$40),"")</f>
        <v/>
      </c>
      <c r="AY66" s="3">
        <f>IFERROR(AVERAGEIFS(Mesures!$I:$I,Mesures!$F:$F,$A66,Mesures!$C:$C,AY$40),"")</f>
        <v/>
      </c>
      <c r="AZ66" s="3">
        <f>IFERROR(AVERAGEIFS(Mesures!$I:$I,Mesures!$F:$F,$A66,Mesures!$C:$C,AZ$40),"")</f>
        <v/>
      </c>
      <c r="BA66" s="3">
        <f>IFERROR(AVERAGEIFS(Mesures!$I:$I,Mesures!$F:$F,$A66,Mesures!$C:$C,BA$40),"")</f>
        <v/>
      </c>
      <c r="BB66" s="3">
        <f>IFERROR(AVERAGEIFS(Mesures!$I:$I,Mesures!$F:$F,$A66,Mesures!$C:$C,BB$40),"")</f>
        <v/>
      </c>
      <c r="BC66" s="3">
        <f>IFERROR(AVERAGEIFS(Mesures!$I:$I,Mesures!$F:$F,$A66,Mesures!$C:$C,BC$40),"")</f>
        <v/>
      </c>
      <c r="BD66" s="3">
        <f>IFERROR(AVERAGEIFS(Mesures!$I:$I,Mesures!$F:$F,$A66,Mesures!$C:$C,BD$40),"")</f>
        <v/>
      </c>
      <c r="BE66" s="3">
        <f>IFERROR(AVERAGEIFS(Mesures!$I:$I,Mesures!$F:$F,$A66,Mesures!$C:$C,BE$40),"")</f>
        <v/>
      </c>
      <c r="BF66" s="3">
        <f>IFERROR(AVERAGEIFS(Mesures!$I:$I,Mesures!$F:$F,$A66,Mesures!$C:$C,BF$40),"")</f>
        <v/>
      </c>
    </row>
    <row r="67">
      <c r="A67" s="2" t="inlineStr">
        <is>
          <t>M1 100 lyres + 100 lasers / scene</t>
        </is>
      </c>
      <c r="B67" s="3">
        <f>IFERROR(AVERAGEIFS(Mesures!$I:$I,Mesures!$F:$F,$A67,Mesures!$C:$C,B$40),"")</f>
        <v/>
      </c>
      <c r="C67" s="3">
        <f>IFERROR(AVERAGEIFS(Mesures!$I:$I,Mesures!$F:$F,$A67,Mesures!$C:$C,C$40),"")</f>
        <v/>
      </c>
      <c r="D67" s="3">
        <f>IFERROR(AVERAGEIFS(Mesures!$I:$I,Mesures!$F:$F,$A67,Mesures!$C:$C,D$40),"")</f>
        <v/>
      </c>
      <c r="E67" s="3">
        <f>IFERROR(AVERAGEIFS(Mesures!$I:$I,Mesures!$F:$F,$A67,Mesures!$C:$C,E$40),"")</f>
        <v/>
      </c>
      <c r="F67" s="3">
        <f>IFERROR(AVERAGEIFS(Mesures!$I:$I,Mesures!$F:$F,$A67,Mesures!$C:$C,F$40),"")</f>
        <v/>
      </c>
      <c r="G67" s="3">
        <f>IFERROR(AVERAGEIFS(Mesures!$I:$I,Mesures!$F:$F,$A67,Mesures!$C:$C,G$40),"")</f>
        <v/>
      </c>
      <c r="H67" s="3">
        <f>IFERROR(AVERAGEIFS(Mesures!$I:$I,Mesures!$F:$F,$A67,Mesures!$C:$C,H$40),"")</f>
        <v/>
      </c>
      <c r="I67" s="3">
        <f>IFERROR(AVERAGEIFS(Mesures!$I:$I,Mesures!$F:$F,$A67,Mesures!$C:$C,I$40),"")</f>
        <v/>
      </c>
      <c r="J67" s="3">
        <f>IFERROR(AVERAGEIFS(Mesures!$I:$I,Mesures!$F:$F,$A67,Mesures!$C:$C,J$40),"")</f>
        <v/>
      </c>
      <c r="K67" s="3">
        <f>IFERROR(AVERAGEIFS(Mesures!$I:$I,Mesures!$F:$F,$A67,Mesures!$C:$C,K$40),"")</f>
        <v/>
      </c>
      <c r="L67" s="3">
        <f>IFERROR(AVERAGEIFS(Mesures!$I:$I,Mesures!$F:$F,$A67,Mesures!$C:$C,L$40),"")</f>
        <v/>
      </c>
      <c r="M67" s="3">
        <f>IFERROR(AVERAGEIFS(Mesures!$I:$I,Mesures!$F:$F,$A67,Mesures!$C:$C,M$40),"")</f>
        <v/>
      </c>
      <c r="N67" s="3">
        <f>IFERROR(AVERAGEIFS(Mesures!$I:$I,Mesures!$F:$F,$A67,Mesures!$C:$C,N$40),"")</f>
        <v/>
      </c>
      <c r="O67" s="3">
        <f>IFERROR(AVERAGEIFS(Mesures!$I:$I,Mesures!$F:$F,$A67,Mesures!$C:$C,O$40),"")</f>
        <v/>
      </c>
      <c r="P67" s="3">
        <f>IFERROR(AVERAGEIFS(Mesures!$I:$I,Mesures!$F:$F,$A67,Mesures!$C:$C,P$40),"")</f>
        <v/>
      </c>
      <c r="Q67" s="3">
        <f>IFERROR(AVERAGEIFS(Mesures!$I:$I,Mesures!$F:$F,$A67,Mesures!$C:$C,Q$40),"")</f>
        <v/>
      </c>
      <c r="R67" s="3">
        <f>IFERROR(AVERAGEIFS(Mesures!$I:$I,Mesures!$F:$F,$A67,Mesures!$C:$C,R$40),"")</f>
        <v/>
      </c>
      <c r="S67" s="3">
        <f>IFERROR(AVERAGEIFS(Mesures!$I:$I,Mesures!$F:$F,$A67,Mesures!$C:$C,S$40),"")</f>
        <v/>
      </c>
      <c r="T67" s="3">
        <f>IFERROR(AVERAGEIFS(Mesures!$I:$I,Mesures!$F:$F,$A67,Mesures!$C:$C,T$40),"")</f>
        <v/>
      </c>
      <c r="U67" s="3">
        <f>IFERROR(AVERAGEIFS(Mesures!$I:$I,Mesures!$F:$F,$A67,Mesures!$C:$C,U$40),"")</f>
        <v/>
      </c>
      <c r="V67" s="3">
        <f>IFERROR(AVERAGEIFS(Mesures!$I:$I,Mesures!$F:$F,$A67,Mesures!$C:$C,V$40),"")</f>
        <v/>
      </c>
      <c r="W67" s="3">
        <f>IFERROR(AVERAGEIFS(Mesures!$I:$I,Mesures!$F:$F,$A67,Mesures!$C:$C,W$40),"")</f>
        <v/>
      </c>
      <c r="X67" s="3">
        <f>IFERROR(AVERAGEIFS(Mesures!$I:$I,Mesures!$F:$F,$A67,Mesures!$C:$C,X$40),"")</f>
        <v/>
      </c>
      <c r="Y67" s="3">
        <f>IFERROR(AVERAGEIFS(Mesures!$I:$I,Mesures!$F:$F,$A67,Mesures!$C:$C,Y$40),"")</f>
        <v/>
      </c>
      <c r="Z67" s="3">
        <f>IFERROR(AVERAGEIFS(Mesures!$I:$I,Mesures!$F:$F,$A67,Mesures!$C:$C,Z$40),"")</f>
        <v/>
      </c>
      <c r="AA67" s="3">
        <f>IFERROR(AVERAGEIFS(Mesures!$I:$I,Mesures!$F:$F,$A67,Mesures!$C:$C,AA$40),"")</f>
        <v/>
      </c>
      <c r="AB67" s="3">
        <f>IFERROR(AVERAGEIFS(Mesures!$I:$I,Mesures!$F:$F,$A67,Mesures!$C:$C,AB$40),"")</f>
        <v/>
      </c>
      <c r="AC67" s="3">
        <f>IFERROR(AVERAGEIFS(Mesures!$I:$I,Mesures!$F:$F,$A67,Mesures!$C:$C,AC$40),"")</f>
        <v/>
      </c>
      <c r="AD67" s="3">
        <f>IFERROR(AVERAGEIFS(Mesures!$I:$I,Mesures!$F:$F,$A67,Mesures!$C:$C,AD$40),"")</f>
        <v/>
      </c>
      <c r="AE67" s="3">
        <f>IFERROR(AVERAGEIFS(Mesures!$I:$I,Mesures!$F:$F,$A67,Mesures!$C:$C,AE$40),"")</f>
        <v/>
      </c>
      <c r="AF67" s="3">
        <f>IFERROR(AVERAGEIFS(Mesures!$I:$I,Mesures!$F:$F,$A67,Mesures!$C:$C,AF$40),"")</f>
        <v/>
      </c>
      <c r="AG67" s="3">
        <f>IFERROR(AVERAGEIFS(Mesures!$I:$I,Mesures!$F:$F,$A67,Mesures!$C:$C,AG$40),"")</f>
        <v/>
      </c>
      <c r="AH67" s="3">
        <f>IFERROR(AVERAGEIFS(Mesures!$I:$I,Mesures!$F:$F,$A67,Mesures!$C:$C,AH$40),"")</f>
        <v/>
      </c>
      <c r="AI67" s="3">
        <f>IFERROR(AVERAGEIFS(Mesures!$I:$I,Mesures!$F:$F,$A67,Mesures!$C:$C,AI$40),"")</f>
        <v/>
      </c>
      <c r="AJ67" s="3">
        <f>IFERROR(AVERAGEIFS(Mesures!$I:$I,Mesures!$F:$F,$A67,Mesures!$C:$C,AJ$40),"")</f>
        <v/>
      </c>
      <c r="AK67" s="3">
        <f>IFERROR(AVERAGEIFS(Mesures!$I:$I,Mesures!$F:$F,$A67,Mesures!$C:$C,AK$40),"")</f>
        <v/>
      </c>
      <c r="AL67" s="3">
        <f>IFERROR(AVERAGEIFS(Mesures!$I:$I,Mesures!$F:$F,$A67,Mesures!$C:$C,AL$40),"")</f>
        <v/>
      </c>
      <c r="AM67" s="3">
        <f>IFERROR(AVERAGEIFS(Mesures!$I:$I,Mesures!$F:$F,$A67,Mesures!$C:$C,AM$40),"")</f>
        <v/>
      </c>
      <c r="AN67" s="3">
        <f>IFERROR(AVERAGEIFS(Mesures!$I:$I,Mesures!$F:$F,$A67,Mesures!$C:$C,AN$40),"")</f>
        <v/>
      </c>
      <c r="AO67" s="3">
        <f>IFERROR(AVERAGEIFS(Mesures!$I:$I,Mesures!$F:$F,$A67,Mesures!$C:$C,AO$40),"")</f>
        <v/>
      </c>
      <c r="AP67" s="3">
        <f>IFERROR(AVERAGEIFS(Mesures!$I:$I,Mesures!$F:$F,$A67,Mesures!$C:$C,AP$40),"")</f>
        <v/>
      </c>
      <c r="AQ67" s="3">
        <f>IFERROR(AVERAGEIFS(Mesures!$I:$I,Mesures!$F:$F,$A67,Mesures!$C:$C,AQ$40),"")</f>
        <v/>
      </c>
      <c r="AR67" s="3">
        <f>IFERROR(AVERAGEIFS(Mesures!$I:$I,Mesures!$F:$F,$A67,Mesures!$C:$C,AR$40),"")</f>
        <v/>
      </c>
      <c r="AS67" s="3">
        <f>IFERROR(AVERAGEIFS(Mesures!$I:$I,Mesures!$F:$F,$A67,Mesures!$C:$C,AS$40),"")</f>
        <v/>
      </c>
      <c r="AT67" s="3">
        <f>IFERROR(AVERAGEIFS(Mesures!$I:$I,Mesures!$F:$F,$A67,Mesures!$C:$C,AT$40),"")</f>
        <v/>
      </c>
      <c r="AU67" s="3">
        <f>IFERROR(AVERAGEIFS(Mesures!$I:$I,Mesures!$F:$F,$A67,Mesures!$C:$C,AU$40),"")</f>
        <v/>
      </c>
      <c r="AV67" s="3">
        <f>IFERROR(AVERAGEIFS(Mesures!$I:$I,Mesures!$F:$F,$A67,Mesures!$C:$C,AV$40),"")</f>
        <v/>
      </c>
      <c r="AW67" s="3">
        <f>IFERROR(AVERAGEIFS(Mesures!$I:$I,Mesures!$F:$F,$A67,Mesures!$C:$C,AW$40),"")</f>
        <v/>
      </c>
      <c r="AX67" s="3">
        <f>IFERROR(AVERAGEIFS(Mesures!$I:$I,Mesures!$F:$F,$A67,Mesures!$C:$C,AX$40),"")</f>
        <v/>
      </c>
      <c r="AY67" s="3">
        <f>IFERROR(AVERAGEIFS(Mesures!$I:$I,Mesures!$F:$F,$A67,Mesures!$C:$C,AY$40),"")</f>
        <v/>
      </c>
      <c r="AZ67" s="3">
        <f>IFERROR(AVERAGEIFS(Mesures!$I:$I,Mesures!$F:$F,$A67,Mesures!$C:$C,AZ$40),"")</f>
        <v/>
      </c>
      <c r="BA67" s="3">
        <f>IFERROR(AVERAGEIFS(Mesures!$I:$I,Mesures!$F:$F,$A67,Mesures!$C:$C,BA$40),"")</f>
        <v/>
      </c>
      <c r="BB67" s="3">
        <f>IFERROR(AVERAGEIFS(Mesures!$I:$I,Mesures!$F:$F,$A67,Mesures!$C:$C,BB$40),"")</f>
        <v/>
      </c>
      <c r="BC67" s="3">
        <f>IFERROR(AVERAGEIFS(Mesures!$I:$I,Mesures!$F:$F,$A67,Mesures!$C:$C,BC$40),"")</f>
        <v/>
      </c>
      <c r="BD67" s="3">
        <f>IFERROR(AVERAGEIFS(Mesures!$I:$I,Mesures!$F:$F,$A67,Mesures!$C:$C,BD$40),"")</f>
        <v/>
      </c>
      <c r="BE67" s="3">
        <f>IFERROR(AVERAGEIFS(Mesures!$I:$I,Mesures!$F:$F,$A67,Mesures!$C:$C,BE$40),"")</f>
        <v/>
      </c>
      <c r="BF67" s="3">
        <f>IFERROR(AVERAGEIFS(Mesures!$I:$I,Mesures!$F:$F,$A67,Mesures!$C:$C,BF$40),"")</f>
        <v/>
      </c>
    </row>
    <row r="68">
      <c r="A68" s="2" t="inlineStr">
        <is>
          <t>M1 100 lyres + 100 lasers / sous les trusses</t>
        </is>
      </c>
      <c r="B68" s="3">
        <f>IFERROR(AVERAGEIFS(Mesures!$I:$I,Mesures!$F:$F,$A68,Mesures!$C:$C,B$40),"")</f>
        <v/>
      </c>
      <c r="C68" s="3">
        <f>IFERROR(AVERAGEIFS(Mesures!$I:$I,Mesures!$F:$F,$A68,Mesures!$C:$C,C$40),"")</f>
        <v/>
      </c>
      <c r="D68" s="3">
        <f>IFERROR(AVERAGEIFS(Mesures!$I:$I,Mesures!$F:$F,$A68,Mesures!$C:$C,D$40),"")</f>
        <v/>
      </c>
      <c r="E68" s="3">
        <f>IFERROR(AVERAGEIFS(Mesures!$I:$I,Mesures!$F:$F,$A68,Mesures!$C:$C,E$40),"")</f>
        <v/>
      </c>
      <c r="F68" s="3">
        <f>IFERROR(AVERAGEIFS(Mesures!$I:$I,Mesures!$F:$F,$A68,Mesures!$C:$C,F$40),"")</f>
        <v/>
      </c>
      <c r="G68" s="3">
        <f>IFERROR(AVERAGEIFS(Mesures!$I:$I,Mesures!$F:$F,$A68,Mesures!$C:$C,G$40),"")</f>
        <v/>
      </c>
      <c r="H68" s="3">
        <f>IFERROR(AVERAGEIFS(Mesures!$I:$I,Mesures!$F:$F,$A68,Mesures!$C:$C,H$40),"")</f>
        <v/>
      </c>
      <c r="I68" s="3">
        <f>IFERROR(AVERAGEIFS(Mesures!$I:$I,Mesures!$F:$F,$A68,Mesures!$C:$C,I$40),"")</f>
        <v/>
      </c>
      <c r="J68" s="3">
        <f>IFERROR(AVERAGEIFS(Mesures!$I:$I,Mesures!$F:$F,$A68,Mesures!$C:$C,J$40),"")</f>
        <v/>
      </c>
      <c r="K68" s="3">
        <f>IFERROR(AVERAGEIFS(Mesures!$I:$I,Mesures!$F:$F,$A68,Mesures!$C:$C,K$40),"")</f>
        <v/>
      </c>
      <c r="L68" s="3">
        <f>IFERROR(AVERAGEIFS(Mesures!$I:$I,Mesures!$F:$F,$A68,Mesures!$C:$C,L$40),"")</f>
        <v/>
      </c>
      <c r="M68" s="3">
        <f>IFERROR(AVERAGEIFS(Mesures!$I:$I,Mesures!$F:$F,$A68,Mesures!$C:$C,M$40),"")</f>
        <v/>
      </c>
      <c r="N68" s="3">
        <f>IFERROR(AVERAGEIFS(Mesures!$I:$I,Mesures!$F:$F,$A68,Mesures!$C:$C,N$40),"")</f>
        <v/>
      </c>
      <c r="O68" s="3">
        <f>IFERROR(AVERAGEIFS(Mesures!$I:$I,Mesures!$F:$F,$A68,Mesures!$C:$C,O$40),"")</f>
        <v/>
      </c>
      <c r="P68" s="3">
        <f>IFERROR(AVERAGEIFS(Mesures!$I:$I,Mesures!$F:$F,$A68,Mesures!$C:$C,P$40),"")</f>
        <v/>
      </c>
      <c r="Q68" s="3">
        <f>IFERROR(AVERAGEIFS(Mesures!$I:$I,Mesures!$F:$F,$A68,Mesures!$C:$C,Q$40),"")</f>
        <v/>
      </c>
      <c r="R68" s="3">
        <f>IFERROR(AVERAGEIFS(Mesures!$I:$I,Mesures!$F:$F,$A68,Mesures!$C:$C,R$40),"")</f>
        <v/>
      </c>
      <c r="S68" s="3">
        <f>IFERROR(AVERAGEIFS(Mesures!$I:$I,Mesures!$F:$F,$A68,Mesures!$C:$C,S$40),"")</f>
        <v/>
      </c>
      <c r="T68" s="3">
        <f>IFERROR(AVERAGEIFS(Mesures!$I:$I,Mesures!$F:$F,$A68,Mesures!$C:$C,T$40),"")</f>
        <v/>
      </c>
      <c r="U68" s="3">
        <f>IFERROR(AVERAGEIFS(Mesures!$I:$I,Mesures!$F:$F,$A68,Mesures!$C:$C,U$40),"")</f>
        <v/>
      </c>
      <c r="V68" s="3">
        <f>IFERROR(AVERAGEIFS(Mesures!$I:$I,Mesures!$F:$F,$A68,Mesures!$C:$C,V$40),"")</f>
        <v/>
      </c>
      <c r="W68" s="3">
        <f>IFERROR(AVERAGEIFS(Mesures!$I:$I,Mesures!$F:$F,$A68,Mesures!$C:$C,W$40),"")</f>
        <v/>
      </c>
      <c r="X68" s="3">
        <f>IFERROR(AVERAGEIFS(Mesures!$I:$I,Mesures!$F:$F,$A68,Mesures!$C:$C,X$40),"")</f>
        <v/>
      </c>
      <c r="Y68" s="3">
        <f>IFERROR(AVERAGEIFS(Mesures!$I:$I,Mesures!$F:$F,$A68,Mesures!$C:$C,Y$40),"")</f>
        <v/>
      </c>
      <c r="Z68" s="3">
        <f>IFERROR(AVERAGEIFS(Mesures!$I:$I,Mesures!$F:$F,$A68,Mesures!$C:$C,Z$40),"")</f>
        <v/>
      </c>
      <c r="AA68" s="3">
        <f>IFERROR(AVERAGEIFS(Mesures!$I:$I,Mesures!$F:$F,$A68,Mesures!$C:$C,AA$40),"")</f>
        <v/>
      </c>
      <c r="AB68" s="3">
        <f>IFERROR(AVERAGEIFS(Mesures!$I:$I,Mesures!$F:$F,$A68,Mesures!$C:$C,AB$40),"")</f>
        <v/>
      </c>
      <c r="AC68" s="3">
        <f>IFERROR(AVERAGEIFS(Mesures!$I:$I,Mesures!$F:$F,$A68,Mesures!$C:$C,AC$40),"")</f>
        <v/>
      </c>
      <c r="AD68" s="3">
        <f>IFERROR(AVERAGEIFS(Mesures!$I:$I,Mesures!$F:$F,$A68,Mesures!$C:$C,AD$40),"")</f>
        <v/>
      </c>
      <c r="AE68" s="3">
        <f>IFERROR(AVERAGEIFS(Mesures!$I:$I,Mesures!$F:$F,$A68,Mesures!$C:$C,AE$40),"")</f>
        <v/>
      </c>
      <c r="AF68" s="3">
        <f>IFERROR(AVERAGEIFS(Mesures!$I:$I,Mesures!$F:$F,$A68,Mesures!$C:$C,AF$40),"")</f>
        <v/>
      </c>
      <c r="AG68" s="3">
        <f>IFERROR(AVERAGEIFS(Mesures!$I:$I,Mesures!$F:$F,$A68,Mesures!$C:$C,AG$40),"")</f>
        <v/>
      </c>
      <c r="AH68" s="3">
        <f>IFERROR(AVERAGEIFS(Mesures!$I:$I,Mesures!$F:$F,$A68,Mesures!$C:$C,AH$40),"")</f>
        <v/>
      </c>
      <c r="AI68" s="3">
        <f>IFERROR(AVERAGEIFS(Mesures!$I:$I,Mesures!$F:$F,$A68,Mesures!$C:$C,AI$40),"")</f>
        <v/>
      </c>
      <c r="AJ68" s="3">
        <f>IFERROR(AVERAGEIFS(Mesures!$I:$I,Mesures!$F:$F,$A68,Mesures!$C:$C,AJ$40),"")</f>
        <v/>
      </c>
      <c r="AK68" s="3">
        <f>IFERROR(AVERAGEIFS(Mesures!$I:$I,Mesures!$F:$F,$A68,Mesures!$C:$C,AK$40),"")</f>
        <v/>
      </c>
      <c r="AL68" s="3">
        <f>IFERROR(AVERAGEIFS(Mesures!$I:$I,Mesures!$F:$F,$A68,Mesures!$C:$C,AL$40),"")</f>
        <v/>
      </c>
      <c r="AM68" s="3">
        <f>IFERROR(AVERAGEIFS(Mesures!$I:$I,Mesures!$F:$F,$A68,Mesures!$C:$C,AM$40),"")</f>
        <v/>
      </c>
      <c r="AN68" s="3">
        <f>IFERROR(AVERAGEIFS(Mesures!$I:$I,Mesures!$F:$F,$A68,Mesures!$C:$C,AN$40),"")</f>
        <v/>
      </c>
      <c r="AO68" s="3">
        <f>IFERROR(AVERAGEIFS(Mesures!$I:$I,Mesures!$F:$F,$A68,Mesures!$C:$C,AO$40),"")</f>
        <v/>
      </c>
      <c r="AP68" s="3">
        <f>IFERROR(AVERAGEIFS(Mesures!$I:$I,Mesures!$F:$F,$A68,Mesures!$C:$C,AP$40),"")</f>
        <v/>
      </c>
      <c r="AQ68" s="3">
        <f>IFERROR(AVERAGEIFS(Mesures!$I:$I,Mesures!$F:$F,$A68,Mesures!$C:$C,AQ$40),"")</f>
        <v/>
      </c>
      <c r="AR68" s="3">
        <f>IFERROR(AVERAGEIFS(Mesures!$I:$I,Mesures!$F:$F,$A68,Mesures!$C:$C,AR$40),"")</f>
        <v/>
      </c>
      <c r="AS68" s="3">
        <f>IFERROR(AVERAGEIFS(Mesures!$I:$I,Mesures!$F:$F,$A68,Mesures!$C:$C,AS$40),"")</f>
        <v/>
      </c>
      <c r="AT68" s="3">
        <f>IFERROR(AVERAGEIFS(Mesures!$I:$I,Mesures!$F:$F,$A68,Mesures!$C:$C,AT$40),"")</f>
        <v/>
      </c>
      <c r="AU68" s="3">
        <f>IFERROR(AVERAGEIFS(Mesures!$I:$I,Mesures!$F:$F,$A68,Mesures!$C:$C,AU$40),"")</f>
        <v/>
      </c>
      <c r="AV68" s="3">
        <f>IFERROR(AVERAGEIFS(Mesures!$I:$I,Mesures!$F:$F,$A68,Mesures!$C:$C,AV$40),"")</f>
        <v/>
      </c>
      <c r="AW68" s="3">
        <f>IFERROR(AVERAGEIFS(Mesures!$I:$I,Mesures!$F:$F,$A68,Mesures!$C:$C,AW$40),"")</f>
        <v/>
      </c>
      <c r="AX68" s="3">
        <f>IFERROR(AVERAGEIFS(Mesures!$I:$I,Mesures!$F:$F,$A68,Mesures!$C:$C,AX$40),"")</f>
        <v/>
      </c>
      <c r="AY68" s="3">
        <f>IFERROR(AVERAGEIFS(Mesures!$I:$I,Mesures!$F:$F,$A68,Mesures!$C:$C,AY$40),"")</f>
        <v/>
      </c>
      <c r="AZ68" s="3">
        <f>IFERROR(AVERAGEIFS(Mesures!$I:$I,Mesures!$F:$F,$A68,Mesures!$C:$C,AZ$40),"")</f>
        <v/>
      </c>
      <c r="BA68" s="3">
        <f>IFERROR(AVERAGEIFS(Mesures!$I:$I,Mesures!$F:$F,$A68,Mesures!$C:$C,BA$40),"")</f>
        <v/>
      </c>
      <c r="BB68" s="3">
        <f>IFERROR(AVERAGEIFS(Mesures!$I:$I,Mesures!$F:$F,$A68,Mesures!$C:$C,BB$40),"")</f>
        <v/>
      </c>
      <c r="BC68" s="3">
        <f>IFERROR(AVERAGEIFS(Mesures!$I:$I,Mesures!$F:$F,$A68,Mesures!$C:$C,BC$40),"")</f>
        <v/>
      </c>
      <c r="BD68" s="3">
        <f>IFERROR(AVERAGEIFS(Mesures!$I:$I,Mesures!$F:$F,$A68,Mesures!$C:$C,BD$40),"")</f>
        <v/>
      </c>
      <c r="BE68" s="3">
        <f>IFERROR(AVERAGEIFS(Mesures!$I:$I,Mesures!$F:$F,$A68,Mesures!$C:$C,BE$40),"")</f>
        <v/>
      </c>
      <c r="BF68" s="3">
        <f>IFERROR(AVERAGEIFS(Mesures!$I:$I,Mesures!$F:$F,$A68,Mesures!$C:$C,BF$40),"")</f>
        <v/>
      </c>
    </row>
    <row r="69">
      <c r="A69" s="2" t="inlineStr">
        <is>
          <t>sans lasers (scene seule) / public</t>
        </is>
      </c>
      <c r="B69" s="3">
        <f>IFERROR(AVERAGEIFS(Mesures!$I:$I,Mesures!$F:$F,$A69,Mesures!$C:$C,B$40),"")</f>
        <v/>
      </c>
      <c r="C69" s="3">
        <f>IFERROR(AVERAGEIFS(Mesures!$I:$I,Mesures!$F:$F,$A69,Mesures!$C:$C,C$40),"")</f>
        <v/>
      </c>
      <c r="D69" s="3">
        <f>IFERROR(AVERAGEIFS(Mesures!$I:$I,Mesures!$F:$F,$A69,Mesures!$C:$C,D$40),"")</f>
        <v/>
      </c>
      <c r="E69" s="3">
        <f>IFERROR(AVERAGEIFS(Mesures!$I:$I,Mesures!$F:$F,$A69,Mesures!$C:$C,E$40),"")</f>
        <v/>
      </c>
      <c r="F69" s="3">
        <f>IFERROR(AVERAGEIFS(Mesures!$I:$I,Mesures!$F:$F,$A69,Mesures!$C:$C,F$40),"")</f>
        <v/>
      </c>
      <c r="G69" s="3">
        <f>IFERROR(AVERAGEIFS(Mesures!$I:$I,Mesures!$F:$F,$A69,Mesures!$C:$C,G$40),"")</f>
        <v/>
      </c>
      <c r="H69" s="3">
        <f>IFERROR(AVERAGEIFS(Mesures!$I:$I,Mesures!$F:$F,$A69,Mesures!$C:$C,H$40),"")</f>
        <v/>
      </c>
      <c r="I69" s="3">
        <f>IFERROR(AVERAGEIFS(Mesures!$I:$I,Mesures!$F:$F,$A69,Mesures!$C:$C,I$40),"")</f>
        <v/>
      </c>
      <c r="J69" s="3">
        <f>IFERROR(AVERAGEIFS(Mesures!$I:$I,Mesures!$F:$F,$A69,Mesures!$C:$C,J$40),"")</f>
        <v/>
      </c>
      <c r="K69" s="3">
        <f>IFERROR(AVERAGEIFS(Mesures!$I:$I,Mesures!$F:$F,$A69,Mesures!$C:$C,K$40),"")</f>
        <v/>
      </c>
      <c r="L69" s="3">
        <f>IFERROR(AVERAGEIFS(Mesures!$I:$I,Mesures!$F:$F,$A69,Mesures!$C:$C,L$40),"")</f>
        <v/>
      </c>
      <c r="M69" s="3">
        <f>IFERROR(AVERAGEIFS(Mesures!$I:$I,Mesures!$F:$F,$A69,Mesures!$C:$C,M$40),"")</f>
        <v/>
      </c>
      <c r="N69" s="3">
        <f>IFERROR(AVERAGEIFS(Mesures!$I:$I,Mesures!$F:$F,$A69,Mesures!$C:$C,N$40),"")</f>
        <v/>
      </c>
      <c r="O69" s="3">
        <f>IFERROR(AVERAGEIFS(Mesures!$I:$I,Mesures!$F:$F,$A69,Mesures!$C:$C,O$40),"")</f>
        <v/>
      </c>
      <c r="P69" s="3">
        <f>IFERROR(AVERAGEIFS(Mesures!$I:$I,Mesures!$F:$F,$A69,Mesures!$C:$C,P$40),"")</f>
        <v/>
      </c>
      <c r="Q69" s="3">
        <f>IFERROR(AVERAGEIFS(Mesures!$I:$I,Mesures!$F:$F,$A69,Mesures!$C:$C,Q$40),"")</f>
        <v/>
      </c>
      <c r="R69" s="3">
        <f>IFERROR(AVERAGEIFS(Mesures!$I:$I,Mesures!$F:$F,$A69,Mesures!$C:$C,R$40),"")</f>
        <v/>
      </c>
      <c r="S69" s="3">
        <f>IFERROR(AVERAGEIFS(Mesures!$I:$I,Mesures!$F:$F,$A69,Mesures!$C:$C,S$40),"")</f>
        <v/>
      </c>
      <c r="T69" s="3">
        <f>IFERROR(AVERAGEIFS(Mesures!$I:$I,Mesures!$F:$F,$A69,Mesures!$C:$C,T$40),"")</f>
        <v/>
      </c>
      <c r="U69" s="3">
        <f>IFERROR(AVERAGEIFS(Mesures!$I:$I,Mesures!$F:$F,$A69,Mesures!$C:$C,U$40),"")</f>
        <v/>
      </c>
      <c r="V69" s="3">
        <f>IFERROR(AVERAGEIFS(Mesures!$I:$I,Mesures!$F:$F,$A69,Mesures!$C:$C,V$40),"")</f>
        <v/>
      </c>
      <c r="W69" s="3">
        <f>IFERROR(AVERAGEIFS(Mesures!$I:$I,Mesures!$F:$F,$A69,Mesures!$C:$C,W$40),"")</f>
        <v/>
      </c>
      <c r="X69" s="3">
        <f>IFERROR(AVERAGEIFS(Mesures!$I:$I,Mesures!$F:$F,$A69,Mesures!$C:$C,X$40),"")</f>
        <v/>
      </c>
      <c r="Y69" s="3">
        <f>IFERROR(AVERAGEIFS(Mesures!$I:$I,Mesures!$F:$F,$A69,Mesures!$C:$C,Y$40),"")</f>
        <v/>
      </c>
      <c r="Z69" s="3">
        <f>IFERROR(AVERAGEIFS(Mesures!$I:$I,Mesures!$F:$F,$A69,Mesures!$C:$C,Z$40),"")</f>
        <v/>
      </c>
      <c r="AA69" s="3">
        <f>IFERROR(AVERAGEIFS(Mesures!$I:$I,Mesures!$F:$F,$A69,Mesures!$C:$C,AA$40),"")</f>
        <v/>
      </c>
      <c r="AB69" s="3">
        <f>IFERROR(AVERAGEIFS(Mesures!$I:$I,Mesures!$F:$F,$A69,Mesures!$C:$C,AB$40),"")</f>
        <v/>
      </c>
      <c r="AC69" s="3">
        <f>IFERROR(AVERAGEIFS(Mesures!$I:$I,Mesures!$F:$F,$A69,Mesures!$C:$C,AC$40),"")</f>
        <v/>
      </c>
      <c r="AD69" s="3">
        <f>IFERROR(AVERAGEIFS(Mesures!$I:$I,Mesures!$F:$F,$A69,Mesures!$C:$C,AD$40),"")</f>
        <v/>
      </c>
      <c r="AE69" s="3">
        <f>IFERROR(AVERAGEIFS(Mesures!$I:$I,Mesures!$F:$F,$A69,Mesures!$C:$C,AE$40),"")</f>
        <v/>
      </c>
      <c r="AF69" s="3">
        <f>IFERROR(AVERAGEIFS(Mesures!$I:$I,Mesures!$F:$F,$A69,Mesures!$C:$C,AF$40),"")</f>
        <v/>
      </c>
      <c r="AG69" s="3">
        <f>IFERROR(AVERAGEIFS(Mesures!$I:$I,Mesures!$F:$F,$A69,Mesures!$C:$C,AG$40),"")</f>
        <v/>
      </c>
      <c r="AH69" s="3">
        <f>IFERROR(AVERAGEIFS(Mesures!$I:$I,Mesures!$F:$F,$A69,Mesures!$C:$C,AH$40),"")</f>
        <v/>
      </c>
      <c r="AI69" s="3">
        <f>IFERROR(AVERAGEIFS(Mesures!$I:$I,Mesures!$F:$F,$A69,Mesures!$C:$C,AI$40),"")</f>
        <v/>
      </c>
      <c r="AJ69" s="3">
        <f>IFERROR(AVERAGEIFS(Mesures!$I:$I,Mesures!$F:$F,$A69,Mesures!$C:$C,AJ$40),"")</f>
        <v/>
      </c>
      <c r="AK69" s="3">
        <f>IFERROR(AVERAGEIFS(Mesures!$I:$I,Mesures!$F:$F,$A69,Mesures!$C:$C,AK$40),"")</f>
        <v/>
      </c>
      <c r="AL69" s="3">
        <f>IFERROR(AVERAGEIFS(Mesures!$I:$I,Mesures!$F:$F,$A69,Mesures!$C:$C,AL$40),"")</f>
        <v/>
      </c>
      <c r="AM69" s="3">
        <f>IFERROR(AVERAGEIFS(Mesures!$I:$I,Mesures!$F:$F,$A69,Mesures!$C:$C,AM$40),"")</f>
        <v/>
      </c>
      <c r="AN69" s="3">
        <f>IFERROR(AVERAGEIFS(Mesures!$I:$I,Mesures!$F:$F,$A69,Mesures!$C:$C,AN$40),"")</f>
        <v/>
      </c>
      <c r="AO69" s="3">
        <f>IFERROR(AVERAGEIFS(Mesures!$I:$I,Mesures!$F:$F,$A69,Mesures!$C:$C,AO$40),"")</f>
        <v/>
      </c>
      <c r="AP69" s="3">
        <f>IFERROR(AVERAGEIFS(Mesures!$I:$I,Mesures!$F:$F,$A69,Mesures!$C:$C,AP$40),"")</f>
        <v/>
      </c>
      <c r="AQ69" s="3">
        <f>IFERROR(AVERAGEIFS(Mesures!$I:$I,Mesures!$F:$F,$A69,Mesures!$C:$C,AQ$40),"")</f>
        <v/>
      </c>
      <c r="AR69" s="3">
        <f>IFERROR(AVERAGEIFS(Mesures!$I:$I,Mesures!$F:$F,$A69,Mesures!$C:$C,AR$40),"")</f>
        <v/>
      </c>
      <c r="AS69" s="3">
        <f>IFERROR(AVERAGEIFS(Mesures!$I:$I,Mesures!$F:$F,$A69,Mesures!$C:$C,AS$40),"")</f>
        <v/>
      </c>
      <c r="AT69" s="3">
        <f>IFERROR(AVERAGEIFS(Mesures!$I:$I,Mesures!$F:$F,$A69,Mesures!$C:$C,AT$40),"")</f>
        <v/>
      </c>
      <c r="AU69" s="3">
        <f>IFERROR(AVERAGEIFS(Mesures!$I:$I,Mesures!$F:$F,$A69,Mesures!$C:$C,AU$40),"")</f>
        <v/>
      </c>
      <c r="AV69" s="3">
        <f>IFERROR(AVERAGEIFS(Mesures!$I:$I,Mesures!$F:$F,$A69,Mesures!$C:$C,AV$40),"")</f>
        <v/>
      </c>
      <c r="AW69" s="3">
        <f>IFERROR(AVERAGEIFS(Mesures!$I:$I,Mesures!$F:$F,$A69,Mesures!$C:$C,AW$40),"")</f>
        <v/>
      </c>
      <c r="AX69" s="3">
        <f>IFERROR(AVERAGEIFS(Mesures!$I:$I,Mesures!$F:$F,$A69,Mesures!$C:$C,AX$40),"")</f>
        <v/>
      </c>
      <c r="AY69" s="3">
        <f>IFERROR(AVERAGEIFS(Mesures!$I:$I,Mesures!$F:$F,$A69,Mesures!$C:$C,AY$40),"")</f>
        <v/>
      </c>
      <c r="AZ69" s="3">
        <f>IFERROR(AVERAGEIFS(Mesures!$I:$I,Mesures!$F:$F,$A69,Mesures!$C:$C,AZ$40),"")</f>
        <v/>
      </c>
      <c r="BA69" s="3">
        <f>IFERROR(AVERAGEIFS(Mesures!$I:$I,Mesures!$F:$F,$A69,Mesures!$C:$C,BA$40),"")</f>
        <v/>
      </c>
      <c r="BB69" s="3">
        <f>IFERROR(AVERAGEIFS(Mesures!$I:$I,Mesures!$F:$F,$A69,Mesures!$C:$C,BB$40),"")</f>
        <v/>
      </c>
      <c r="BC69" s="3">
        <f>IFERROR(AVERAGEIFS(Mesures!$I:$I,Mesures!$F:$F,$A69,Mesures!$C:$C,BC$40),"")</f>
        <v/>
      </c>
      <c r="BD69" s="3">
        <f>IFERROR(AVERAGEIFS(Mesures!$I:$I,Mesures!$F:$F,$A69,Mesures!$C:$C,BD$40),"")</f>
        <v/>
      </c>
      <c r="BE69" s="3">
        <f>IFERROR(AVERAGEIFS(Mesures!$I:$I,Mesures!$F:$F,$A69,Mesures!$C:$C,BE$40),"")</f>
        <v/>
      </c>
      <c r="BF69" s="3">
        <f>IFERROR(AVERAGEIFS(Mesures!$I:$I,Mesures!$F:$F,$A69,Mesures!$C:$C,BF$40),"")</f>
        <v/>
      </c>
    </row>
    <row r="70">
      <c r="A70" s="2" t="inlineStr">
        <is>
          <t>L7 programmeur : formes, degrades, effets / public</t>
        </is>
      </c>
      <c r="B70" s="3">
        <f>IFERROR(AVERAGEIFS(Mesures!$I:$I,Mesures!$F:$F,$A70,Mesures!$C:$C,B$40),"")</f>
        <v/>
      </c>
      <c r="C70" s="3">
        <f>IFERROR(AVERAGEIFS(Mesures!$I:$I,Mesures!$F:$F,$A70,Mesures!$C:$C,C$40),"")</f>
        <v/>
      </c>
      <c r="D70" s="3">
        <f>IFERROR(AVERAGEIFS(Mesures!$I:$I,Mesures!$F:$F,$A70,Mesures!$C:$C,D$40),"")</f>
        <v/>
      </c>
      <c r="E70" s="3">
        <f>IFERROR(AVERAGEIFS(Mesures!$I:$I,Mesures!$F:$F,$A70,Mesures!$C:$C,E$40),"")</f>
        <v/>
      </c>
      <c r="F70" s="3">
        <f>IFERROR(AVERAGEIFS(Mesures!$I:$I,Mesures!$F:$F,$A70,Mesures!$C:$C,F$40),"")</f>
        <v/>
      </c>
      <c r="G70" s="3">
        <f>IFERROR(AVERAGEIFS(Mesures!$I:$I,Mesures!$F:$F,$A70,Mesures!$C:$C,G$40),"")</f>
        <v/>
      </c>
      <c r="H70" s="3">
        <f>IFERROR(AVERAGEIFS(Mesures!$I:$I,Mesures!$F:$F,$A70,Mesures!$C:$C,H$40),"")</f>
        <v/>
      </c>
      <c r="I70" s="3">
        <f>IFERROR(AVERAGEIFS(Mesures!$I:$I,Mesures!$F:$F,$A70,Mesures!$C:$C,I$40),"")</f>
        <v/>
      </c>
      <c r="J70" s="3">
        <f>IFERROR(AVERAGEIFS(Mesures!$I:$I,Mesures!$F:$F,$A70,Mesures!$C:$C,J$40),"")</f>
        <v/>
      </c>
      <c r="K70" s="3">
        <f>IFERROR(AVERAGEIFS(Mesures!$I:$I,Mesures!$F:$F,$A70,Mesures!$C:$C,K$40),"")</f>
        <v/>
      </c>
      <c r="L70" s="3">
        <f>IFERROR(AVERAGEIFS(Mesures!$I:$I,Mesures!$F:$F,$A70,Mesures!$C:$C,L$40),"")</f>
        <v/>
      </c>
      <c r="M70" s="3">
        <f>IFERROR(AVERAGEIFS(Mesures!$I:$I,Mesures!$F:$F,$A70,Mesures!$C:$C,M$40),"")</f>
        <v/>
      </c>
      <c r="N70" s="3">
        <f>IFERROR(AVERAGEIFS(Mesures!$I:$I,Mesures!$F:$F,$A70,Mesures!$C:$C,N$40),"")</f>
        <v/>
      </c>
      <c r="O70" s="3">
        <f>IFERROR(AVERAGEIFS(Mesures!$I:$I,Mesures!$F:$F,$A70,Mesures!$C:$C,O$40),"")</f>
        <v/>
      </c>
      <c r="P70" s="3">
        <f>IFERROR(AVERAGEIFS(Mesures!$I:$I,Mesures!$F:$F,$A70,Mesures!$C:$C,P$40),"")</f>
        <v/>
      </c>
      <c r="Q70" s="3">
        <f>IFERROR(AVERAGEIFS(Mesures!$I:$I,Mesures!$F:$F,$A70,Mesures!$C:$C,Q$40),"")</f>
        <v/>
      </c>
      <c r="R70" s="3">
        <f>IFERROR(AVERAGEIFS(Mesures!$I:$I,Mesures!$F:$F,$A70,Mesures!$C:$C,R$40),"")</f>
        <v/>
      </c>
      <c r="S70" s="3">
        <f>IFERROR(AVERAGEIFS(Mesures!$I:$I,Mesures!$F:$F,$A70,Mesures!$C:$C,S$40),"")</f>
        <v/>
      </c>
      <c r="T70" s="3">
        <f>IFERROR(AVERAGEIFS(Mesures!$I:$I,Mesures!$F:$F,$A70,Mesures!$C:$C,T$40),"")</f>
        <v/>
      </c>
      <c r="U70" s="3">
        <f>IFERROR(AVERAGEIFS(Mesures!$I:$I,Mesures!$F:$F,$A70,Mesures!$C:$C,U$40),"")</f>
        <v/>
      </c>
      <c r="V70" s="3">
        <f>IFERROR(AVERAGEIFS(Mesures!$I:$I,Mesures!$F:$F,$A70,Mesures!$C:$C,V$40),"")</f>
        <v/>
      </c>
      <c r="W70" s="3">
        <f>IFERROR(AVERAGEIFS(Mesures!$I:$I,Mesures!$F:$F,$A70,Mesures!$C:$C,W$40),"")</f>
        <v/>
      </c>
      <c r="X70" s="3">
        <f>IFERROR(AVERAGEIFS(Mesures!$I:$I,Mesures!$F:$F,$A70,Mesures!$C:$C,X$40),"")</f>
        <v/>
      </c>
      <c r="Y70" s="3">
        <f>IFERROR(AVERAGEIFS(Mesures!$I:$I,Mesures!$F:$F,$A70,Mesures!$C:$C,Y$40),"")</f>
        <v/>
      </c>
      <c r="Z70" s="3">
        <f>IFERROR(AVERAGEIFS(Mesures!$I:$I,Mesures!$F:$F,$A70,Mesures!$C:$C,Z$40),"")</f>
        <v/>
      </c>
      <c r="AA70" s="3">
        <f>IFERROR(AVERAGEIFS(Mesures!$I:$I,Mesures!$F:$F,$A70,Mesures!$C:$C,AA$40),"")</f>
        <v/>
      </c>
      <c r="AB70" s="3">
        <f>IFERROR(AVERAGEIFS(Mesures!$I:$I,Mesures!$F:$F,$A70,Mesures!$C:$C,AB$40),"")</f>
        <v/>
      </c>
      <c r="AC70" s="3">
        <f>IFERROR(AVERAGEIFS(Mesures!$I:$I,Mesures!$F:$F,$A70,Mesures!$C:$C,AC$40),"")</f>
        <v/>
      </c>
      <c r="AD70" s="3">
        <f>IFERROR(AVERAGEIFS(Mesures!$I:$I,Mesures!$F:$F,$A70,Mesures!$C:$C,AD$40),"")</f>
        <v/>
      </c>
      <c r="AE70" s="3">
        <f>IFERROR(AVERAGEIFS(Mesures!$I:$I,Mesures!$F:$F,$A70,Mesures!$C:$C,AE$40),"")</f>
        <v/>
      </c>
      <c r="AF70" s="3">
        <f>IFERROR(AVERAGEIFS(Mesures!$I:$I,Mesures!$F:$F,$A70,Mesures!$C:$C,AF$40),"")</f>
        <v/>
      </c>
      <c r="AG70" s="3">
        <f>IFERROR(AVERAGEIFS(Mesures!$I:$I,Mesures!$F:$F,$A70,Mesures!$C:$C,AG$40),"")</f>
        <v/>
      </c>
      <c r="AH70" s="3">
        <f>IFERROR(AVERAGEIFS(Mesures!$I:$I,Mesures!$F:$F,$A70,Mesures!$C:$C,AH$40),"")</f>
        <v/>
      </c>
      <c r="AI70" s="3">
        <f>IFERROR(AVERAGEIFS(Mesures!$I:$I,Mesures!$F:$F,$A70,Mesures!$C:$C,AI$40),"")</f>
        <v/>
      </c>
      <c r="AJ70" s="3">
        <f>IFERROR(AVERAGEIFS(Mesures!$I:$I,Mesures!$F:$F,$A70,Mesures!$C:$C,AJ$40),"")</f>
        <v/>
      </c>
      <c r="AK70" s="3">
        <f>IFERROR(AVERAGEIFS(Mesures!$I:$I,Mesures!$F:$F,$A70,Mesures!$C:$C,AK$40),"")</f>
        <v/>
      </c>
      <c r="AL70" s="3">
        <f>IFERROR(AVERAGEIFS(Mesures!$I:$I,Mesures!$F:$F,$A70,Mesures!$C:$C,AL$40),"")</f>
        <v/>
      </c>
      <c r="AM70" s="3">
        <f>IFERROR(AVERAGEIFS(Mesures!$I:$I,Mesures!$F:$F,$A70,Mesures!$C:$C,AM$40),"")</f>
        <v/>
      </c>
      <c r="AN70" s="3">
        <f>IFERROR(AVERAGEIFS(Mesures!$I:$I,Mesures!$F:$F,$A70,Mesures!$C:$C,AN$40),"")</f>
        <v/>
      </c>
      <c r="AO70" s="3">
        <f>IFERROR(AVERAGEIFS(Mesures!$I:$I,Mesures!$F:$F,$A70,Mesures!$C:$C,AO$40),"")</f>
        <v/>
      </c>
      <c r="AP70" s="3">
        <f>IFERROR(AVERAGEIFS(Mesures!$I:$I,Mesures!$F:$F,$A70,Mesures!$C:$C,AP$40),"")</f>
        <v/>
      </c>
      <c r="AQ70" s="3">
        <f>IFERROR(AVERAGEIFS(Mesures!$I:$I,Mesures!$F:$F,$A70,Mesures!$C:$C,AQ$40),"")</f>
        <v/>
      </c>
      <c r="AR70" s="3">
        <f>IFERROR(AVERAGEIFS(Mesures!$I:$I,Mesures!$F:$F,$A70,Mesures!$C:$C,AR$40),"")</f>
        <v/>
      </c>
      <c r="AS70" s="3">
        <f>IFERROR(AVERAGEIFS(Mesures!$I:$I,Mesures!$F:$F,$A70,Mesures!$C:$C,AS$40),"")</f>
        <v/>
      </c>
      <c r="AT70" s="3">
        <f>IFERROR(AVERAGEIFS(Mesures!$I:$I,Mesures!$F:$F,$A70,Mesures!$C:$C,AT$40),"")</f>
        <v/>
      </c>
      <c r="AU70" s="3">
        <f>IFERROR(AVERAGEIFS(Mesures!$I:$I,Mesures!$F:$F,$A70,Mesures!$C:$C,AU$40),"")</f>
        <v/>
      </c>
      <c r="AV70" s="3">
        <f>IFERROR(AVERAGEIFS(Mesures!$I:$I,Mesures!$F:$F,$A70,Mesures!$C:$C,AV$40),"")</f>
        <v/>
      </c>
      <c r="AW70" s="3">
        <f>IFERROR(AVERAGEIFS(Mesures!$I:$I,Mesures!$F:$F,$A70,Mesures!$C:$C,AW$40),"")</f>
        <v/>
      </c>
      <c r="AX70" s="3">
        <f>IFERROR(AVERAGEIFS(Mesures!$I:$I,Mesures!$F:$F,$A70,Mesures!$C:$C,AX$40),"")</f>
        <v/>
      </c>
      <c r="AY70" s="3">
        <f>IFERROR(AVERAGEIFS(Mesures!$I:$I,Mesures!$F:$F,$A70,Mesures!$C:$C,AY$40),"")</f>
        <v/>
      </c>
      <c r="AZ70" s="3">
        <f>IFERROR(AVERAGEIFS(Mesures!$I:$I,Mesures!$F:$F,$A70,Mesures!$C:$C,AZ$40),"")</f>
        <v/>
      </c>
      <c r="BA70" s="3">
        <f>IFERROR(AVERAGEIFS(Mesures!$I:$I,Mesures!$F:$F,$A70,Mesures!$C:$C,BA$40),"")</f>
        <v/>
      </c>
      <c r="BB70" s="3">
        <f>IFERROR(AVERAGEIFS(Mesures!$I:$I,Mesures!$F:$F,$A70,Mesures!$C:$C,BB$40),"")</f>
        <v/>
      </c>
      <c r="BC70" s="3">
        <f>IFERROR(AVERAGEIFS(Mesures!$I:$I,Mesures!$F:$F,$A70,Mesures!$C:$C,BC$40),"")</f>
        <v/>
      </c>
      <c r="BD70" s="3">
        <f>IFERROR(AVERAGEIFS(Mesures!$I:$I,Mesures!$F:$F,$A70,Mesures!$C:$C,BD$40),"")</f>
        <v/>
      </c>
      <c r="BE70" s="3">
        <f>IFERROR(AVERAGEIFS(Mesures!$I:$I,Mesures!$F:$F,$A70,Mesures!$C:$C,BE$40),"")</f>
        <v/>
      </c>
      <c r="BF70" s="3">
        <f>IFERROR(AVERAGEIFS(Mesures!$I:$I,Mesures!$F:$F,$A70,Mesures!$C:$C,BF$40),"")</f>
        <v/>
      </c>
    </row>
    <row r="71">
      <c r="A71" s="2" t="inlineStr">
        <is>
          <t>I1 ILDA nappes (banque Nappes) / public</t>
        </is>
      </c>
      <c r="B71" s="3">
        <f>IFERROR(AVERAGEIFS(Mesures!$I:$I,Mesures!$F:$F,$A71,Mesures!$C:$C,B$40),"")</f>
        <v/>
      </c>
      <c r="C71" s="3">
        <f>IFERROR(AVERAGEIFS(Mesures!$I:$I,Mesures!$F:$F,$A71,Mesures!$C:$C,C$40),"")</f>
        <v/>
      </c>
      <c r="D71" s="3">
        <f>IFERROR(AVERAGEIFS(Mesures!$I:$I,Mesures!$F:$F,$A71,Mesures!$C:$C,D$40),"")</f>
        <v/>
      </c>
      <c r="E71" s="3">
        <f>IFERROR(AVERAGEIFS(Mesures!$I:$I,Mesures!$F:$F,$A71,Mesures!$C:$C,E$40),"")</f>
        <v/>
      </c>
      <c r="F71" s="3">
        <f>IFERROR(AVERAGEIFS(Mesures!$I:$I,Mesures!$F:$F,$A71,Mesures!$C:$C,F$40),"")</f>
        <v/>
      </c>
      <c r="G71" s="3">
        <f>IFERROR(AVERAGEIFS(Mesures!$I:$I,Mesures!$F:$F,$A71,Mesures!$C:$C,G$40),"")</f>
        <v/>
      </c>
      <c r="H71" s="3">
        <f>IFERROR(AVERAGEIFS(Mesures!$I:$I,Mesures!$F:$F,$A71,Mesures!$C:$C,H$40),"")</f>
        <v/>
      </c>
      <c r="I71" s="3">
        <f>IFERROR(AVERAGEIFS(Mesures!$I:$I,Mesures!$F:$F,$A71,Mesures!$C:$C,I$40),"")</f>
        <v/>
      </c>
      <c r="J71" s="3">
        <f>IFERROR(AVERAGEIFS(Mesures!$I:$I,Mesures!$F:$F,$A71,Mesures!$C:$C,J$40),"")</f>
        <v/>
      </c>
      <c r="K71" s="3">
        <f>IFERROR(AVERAGEIFS(Mesures!$I:$I,Mesures!$F:$F,$A71,Mesures!$C:$C,K$40),"")</f>
        <v/>
      </c>
      <c r="L71" s="3">
        <f>IFERROR(AVERAGEIFS(Mesures!$I:$I,Mesures!$F:$F,$A71,Mesures!$C:$C,L$40),"")</f>
        <v/>
      </c>
      <c r="M71" s="3">
        <f>IFERROR(AVERAGEIFS(Mesures!$I:$I,Mesures!$F:$F,$A71,Mesures!$C:$C,M$40),"")</f>
        <v/>
      </c>
      <c r="N71" s="3">
        <f>IFERROR(AVERAGEIFS(Mesures!$I:$I,Mesures!$F:$F,$A71,Mesures!$C:$C,N$40),"")</f>
        <v/>
      </c>
      <c r="O71" s="3">
        <f>IFERROR(AVERAGEIFS(Mesures!$I:$I,Mesures!$F:$F,$A71,Mesures!$C:$C,O$40),"")</f>
        <v/>
      </c>
      <c r="P71" s="3">
        <f>IFERROR(AVERAGEIFS(Mesures!$I:$I,Mesures!$F:$F,$A71,Mesures!$C:$C,P$40),"")</f>
        <v/>
      </c>
      <c r="Q71" s="3">
        <f>IFERROR(AVERAGEIFS(Mesures!$I:$I,Mesures!$F:$F,$A71,Mesures!$C:$C,Q$40),"")</f>
        <v/>
      </c>
      <c r="R71" s="3">
        <f>IFERROR(AVERAGEIFS(Mesures!$I:$I,Mesures!$F:$F,$A71,Mesures!$C:$C,R$40),"")</f>
        <v/>
      </c>
      <c r="S71" s="3">
        <f>IFERROR(AVERAGEIFS(Mesures!$I:$I,Mesures!$F:$F,$A71,Mesures!$C:$C,S$40),"")</f>
        <v/>
      </c>
      <c r="T71" s="3">
        <f>IFERROR(AVERAGEIFS(Mesures!$I:$I,Mesures!$F:$F,$A71,Mesures!$C:$C,T$40),"")</f>
        <v/>
      </c>
      <c r="U71" s="3">
        <f>IFERROR(AVERAGEIFS(Mesures!$I:$I,Mesures!$F:$F,$A71,Mesures!$C:$C,U$40),"")</f>
        <v/>
      </c>
      <c r="V71" s="3">
        <f>IFERROR(AVERAGEIFS(Mesures!$I:$I,Mesures!$F:$F,$A71,Mesures!$C:$C,V$40),"")</f>
        <v/>
      </c>
      <c r="W71" s="3">
        <f>IFERROR(AVERAGEIFS(Mesures!$I:$I,Mesures!$F:$F,$A71,Mesures!$C:$C,W$40),"")</f>
        <v/>
      </c>
      <c r="X71" s="3">
        <f>IFERROR(AVERAGEIFS(Mesures!$I:$I,Mesures!$F:$F,$A71,Mesures!$C:$C,X$40),"")</f>
        <v/>
      </c>
      <c r="Y71" s="3">
        <f>IFERROR(AVERAGEIFS(Mesures!$I:$I,Mesures!$F:$F,$A71,Mesures!$C:$C,Y$40),"")</f>
        <v/>
      </c>
      <c r="Z71" s="3">
        <f>IFERROR(AVERAGEIFS(Mesures!$I:$I,Mesures!$F:$F,$A71,Mesures!$C:$C,Z$40),"")</f>
        <v/>
      </c>
      <c r="AA71" s="3">
        <f>IFERROR(AVERAGEIFS(Mesures!$I:$I,Mesures!$F:$F,$A71,Mesures!$C:$C,AA$40),"")</f>
        <v/>
      </c>
      <c r="AB71" s="3">
        <f>IFERROR(AVERAGEIFS(Mesures!$I:$I,Mesures!$F:$F,$A71,Mesures!$C:$C,AB$40),"")</f>
        <v/>
      </c>
      <c r="AC71" s="3">
        <f>IFERROR(AVERAGEIFS(Mesures!$I:$I,Mesures!$F:$F,$A71,Mesures!$C:$C,AC$40),"")</f>
        <v/>
      </c>
      <c r="AD71" s="3">
        <f>IFERROR(AVERAGEIFS(Mesures!$I:$I,Mesures!$F:$F,$A71,Mesures!$C:$C,AD$40),"")</f>
        <v/>
      </c>
      <c r="AE71" s="3">
        <f>IFERROR(AVERAGEIFS(Mesures!$I:$I,Mesures!$F:$F,$A71,Mesures!$C:$C,AE$40),"")</f>
        <v/>
      </c>
      <c r="AF71" s="3">
        <f>IFERROR(AVERAGEIFS(Mesures!$I:$I,Mesures!$F:$F,$A71,Mesures!$C:$C,AF$40),"")</f>
        <v/>
      </c>
      <c r="AG71" s="3">
        <f>IFERROR(AVERAGEIFS(Mesures!$I:$I,Mesures!$F:$F,$A71,Mesures!$C:$C,AG$40),"")</f>
        <v/>
      </c>
      <c r="AH71" s="3">
        <f>IFERROR(AVERAGEIFS(Mesures!$I:$I,Mesures!$F:$F,$A71,Mesures!$C:$C,AH$40),"")</f>
        <v/>
      </c>
      <c r="AI71" s="3">
        <f>IFERROR(AVERAGEIFS(Mesures!$I:$I,Mesures!$F:$F,$A71,Mesures!$C:$C,AI$40),"")</f>
        <v/>
      </c>
      <c r="AJ71" s="3">
        <f>IFERROR(AVERAGEIFS(Mesures!$I:$I,Mesures!$F:$F,$A71,Mesures!$C:$C,AJ$40),"")</f>
        <v/>
      </c>
      <c r="AK71" s="3">
        <f>IFERROR(AVERAGEIFS(Mesures!$I:$I,Mesures!$F:$F,$A71,Mesures!$C:$C,AK$40),"")</f>
        <v/>
      </c>
      <c r="AL71" s="3">
        <f>IFERROR(AVERAGEIFS(Mesures!$I:$I,Mesures!$F:$F,$A71,Mesures!$C:$C,AL$40),"")</f>
        <v/>
      </c>
      <c r="AM71" s="3">
        <f>IFERROR(AVERAGEIFS(Mesures!$I:$I,Mesures!$F:$F,$A71,Mesures!$C:$C,AM$40),"")</f>
        <v/>
      </c>
      <c r="AN71" s="3">
        <f>IFERROR(AVERAGEIFS(Mesures!$I:$I,Mesures!$F:$F,$A71,Mesures!$C:$C,AN$40),"")</f>
        <v/>
      </c>
      <c r="AO71" s="3">
        <f>IFERROR(AVERAGEIFS(Mesures!$I:$I,Mesures!$F:$F,$A71,Mesures!$C:$C,AO$40),"")</f>
        <v/>
      </c>
      <c r="AP71" s="3">
        <f>IFERROR(AVERAGEIFS(Mesures!$I:$I,Mesures!$F:$F,$A71,Mesures!$C:$C,AP$40),"")</f>
        <v/>
      </c>
      <c r="AQ71" s="3">
        <f>IFERROR(AVERAGEIFS(Mesures!$I:$I,Mesures!$F:$F,$A71,Mesures!$C:$C,AQ$40),"")</f>
        <v/>
      </c>
      <c r="AR71" s="3">
        <f>IFERROR(AVERAGEIFS(Mesures!$I:$I,Mesures!$F:$F,$A71,Mesures!$C:$C,AR$40),"")</f>
        <v/>
      </c>
      <c r="AS71" s="3">
        <f>IFERROR(AVERAGEIFS(Mesures!$I:$I,Mesures!$F:$F,$A71,Mesures!$C:$C,AS$40),"")</f>
        <v/>
      </c>
      <c r="AT71" s="3">
        <f>IFERROR(AVERAGEIFS(Mesures!$I:$I,Mesures!$F:$F,$A71,Mesures!$C:$C,AT$40),"")</f>
        <v/>
      </c>
      <c r="AU71" s="3">
        <f>IFERROR(AVERAGEIFS(Mesures!$I:$I,Mesures!$F:$F,$A71,Mesures!$C:$C,AU$40),"")</f>
        <v/>
      </c>
      <c r="AV71" s="3">
        <f>IFERROR(AVERAGEIFS(Mesures!$I:$I,Mesures!$F:$F,$A71,Mesures!$C:$C,AV$40),"")</f>
        <v/>
      </c>
      <c r="AW71" s="3">
        <f>IFERROR(AVERAGEIFS(Mesures!$I:$I,Mesures!$F:$F,$A71,Mesures!$C:$C,AW$40),"")</f>
        <v/>
      </c>
      <c r="AX71" s="3">
        <f>IFERROR(AVERAGEIFS(Mesures!$I:$I,Mesures!$F:$F,$A71,Mesures!$C:$C,AX$40),"")</f>
        <v/>
      </c>
      <c r="AY71" s="3">
        <f>IFERROR(AVERAGEIFS(Mesures!$I:$I,Mesures!$F:$F,$A71,Mesures!$C:$C,AY$40),"")</f>
        <v/>
      </c>
      <c r="AZ71" s="3">
        <f>IFERROR(AVERAGEIFS(Mesures!$I:$I,Mesures!$F:$F,$A71,Mesures!$C:$C,AZ$40),"")</f>
        <v/>
      </c>
      <c r="BA71" s="3">
        <f>IFERROR(AVERAGEIFS(Mesures!$I:$I,Mesures!$F:$F,$A71,Mesures!$C:$C,BA$40),"")</f>
        <v/>
      </c>
      <c r="BB71" s="3">
        <f>IFERROR(AVERAGEIFS(Mesures!$I:$I,Mesures!$F:$F,$A71,Mesures!$C:$C,BB$40),"")</f>
        <v/>
      </c>
      <c r="BC71" s="3">
        <f>IFERROR(AVERAGEIFS(Mesures!$I:$I,Mesures!$F:$F,$A71,Mesures!$C:$C,BC$40),"")</f>
        <v/>
      </c>
      <c r="BD71" s="3">
        <f>IFERROR(AVERAGEIFS(Mesures!$I:$I,Mesures!$F:$F,$A71,Mesures!$C:$C,BD$40),"")</f>
        <v/>
      </c>
      <c r="BE71" s="3">
        <f>IFERROR(AVERAGEIFS(Mesures!$I:$I,Mesures!$F:$F,$A71,Mesures!$C:$C,BE$40),"")</f>
        <v/>
      </c>
      <c r="BF71" s="3">
        <f>IFERROR(AVERAGEIFS(Mesures!$I:$I,Mesures!$F:$F,$A71,Mesures!$C:$C,BF$40),"")</f>
        <v/>
      </c>
    </row>
    <row r="72">
      <c r="A72" s="2" t="inlineStr">
        <is>
          <t>I2 ILDA faisceaux (banque Faisceaux) / public</t>
        </is>
      </c>
      <c r="B72" s="3">
        <f>IFERROR(AVERAGEIFS(Mesures!$I:$I,Mesures!$F:$F,$A72,Mesures!$C:$C,B$40),"")</f>
        <v/>
      </c>
      <c r="C72" s="3">
        <f>IFERROR(AVERAGEIFS(Mesures!$I:$I,Mesures!$F:$F,$A72,Mesures!$C:$C,C$40),"")</f>
        <v/>
      </c>
      <c r="D72" s="3">
        <f>IFERROR(AVERAGEIFS(Mesures!$I:$I,Mesures!$F:$F,$A72,Mesures!$C:$C,D$40),"")</f>
        <v/>
      </c>
      <c r="E72" s="3">
        <f>IFERROR(AVERAGEIFS(Mesures!$I:$I,Mesures!$F:$F,$A72,Mesures!$C:$C,E$40),"")</f>
        <v/>
      </c>
      <c r="F72" s="3">
        <f>IFERROR(AVERAGEIFS(Mesures!$I:$I,Mesures!$F:$F,$A72,Mesures!$C:$C,F$40),"")</f>
        <v/>
      </c>
      <c r="G72" s="3">
        <f>IFERROR(AVERAGEIFS(Mesures!$I:$I,Mesures!$F:$F,$A72,Mesures!$C:$C,G$40),"")</f>
        <v/>
      </c>
      <c r="H72" s="3">
        <f>IFERROR(AVERAGEIFS(Mesures!$I:$I,Mesures!$F:$F,$A72,Mesures!$C:$C,H$40),"")</f>
        <v/>
      </c>
      <c r="I72" s="3">
        <f>IFERROR(AVERAGEIFS(Mesures!$I:$I,Mesures!$F:$F,$A72,Mesures!$C:$C,I$40),"")</f>
        <v/>
      </c>
      <c r="J72" s="3">
        <f>IFERROR(AVERAGEIFS(Mesures!$I:$I,Mesures!$F:$F,$A72,Mesures!$C:$C,J$40),"")</f>
        <v/>
      </c>
      <c r="K72" s="3">
        <f>IFERROR(AVERAGEIFS(Mesures!$I:$I,Mesures!$F:$F,$A72,Mesures!$C:$C,K$40),"")</f>
        <v/>
      </c>
      <c r="L72" s="3">
        <f>IFERROR(AVERAGEIFS(Mesures!$I:$I,Mesures!$F:$F,$A72,Mesures!$C:$C,L$40),"")</f>
        <v/>
      </c>
      <c r="M72" s="3">
        <f>IFERROR(AVERAGEIFS(Mesures!$I:$I,Mesures!$F:$F,$A72,Mesures!$C:$C,M$40),"")</f>
        <v/>
      </c>
      <c r="N72" s="3">
        <f>IFERROR(AVERAGEIFS(Mesures!$I:$I,Mesures!$F:$F,$A72,Mesures!$C:$C,N$40),"")</f>
        <v/>
      </c>
      <c r="O72" s="3">
        <f>IFERROR(AVERAGEIFS(Mesures!$I:$I,Mesures!$F:$F,$A72,Mesures!$C:$C,O$40),"")</f>
        <v/>
      </c>
      <c r="P72" s="3">
        <f>IFERROR(AVERAGEIFS(Mesures!$I:$I,Mesures!$F:$F,$A72,Mesures!$C:$C,P$40),"")</f>
        <v/>
      </c>
      <c r="Q72" s="3">
        <f>IFERROR(AVERAGEIFS(Mesures!$I:$I,Mesures!$F:$F,$A72,Mesures!$C:$C,Q$40),"")</f>
        <v/>
      </c>
      <c r="R72" s="3">
        <f>IFERROR(AVERAGEIFS(Mesures!$I:$I,Mesures!$F:$F,$A72,Mesures!$C:$C,R$40),"")</f>
        <v/>
      </c>
      <c r="S72" s="3">
        <f>IFERROR(AVERAGEIFS(Mesures!$I:$I,Mesures!$F:$F,$A72,Mesures!$C:$C,S$40),"")</f>
        <v/>
      </c>
      <c r="T72" s="3">
        <f>IFERROR(AVERAGEIFS(Mesures!$I:$I,Mesures!$F:$F,$A72,Mesures!$C:$C,T$40),"")</f>
        <v/>
      </c>
      <c r="U72" s="3">
        <f>IFERROR(AVERAGEIFS(Mesures!$I:$I,Mesures!$F:$F,$A72,Mesures!$C:$C,U$40),"")</f>
        <v/>
      </c>
      <c r="V72" s="3">
        <f>IFERROR(AVERAGEIFS(Mesures!$I:$I,Mesures!$F:$F,$A72,Mesures!$C:$C,V$40),"")</f>
        <v/>
      </c>
      <c r="W72" s="3">
        <f>IFERROR(AVERAGEIFS(Mesures!$I:$I,Mesures!$F:$F,$A72,Mesures!$C:$C,W$40),"")</f>
        <v/>
      </c>
      <c r="X72" s="3">
        <f>IFERROR(AVERAGEIFS(Mesures!$I:$I,Mesures!$F:$F,$A72,Mesures!$C:$C,X$40),"")</f>
        <v/>
      </c>
      <c r="Y72" s="3">
        <f>IFERROR(AVERAGEIFS(Mesures!$I:$I,Mesures!$F:$F,$A72,Mesures!$C:$C,Y$40),"")</f>
        <v/>
      </c>
      <c r="Z72" s="3">
        <f>IFERROR(AVERAGEIFS(Mesures!$I:$I,Mesures!$F:$F,$A72,Mesures!$C:$C,Z$40),"")</f>
        <v/>
      </c>
      <c r="AA72" s="3">
        <f>IFERROR(AVERAGEIFS(Mesures!$I:$I,Mesures!$F:$F,$A72,Mesures!$C:$C,AA$40),"")</f>
        <v/>
      </c>
      <c r="AB72" s="3">
        <f>IFERROR(AVERAGEIFS(Mesures!$I:$I,Mesures!$F:$F,$A72,Mesures!$C:$C,AB$40),"")</f>
        <v/>
      </c>
      <c r="AC72" s="3">
        <f>IFERROR(AVERAGEIFS(Mesures!$I:$I,Mesures!$F:$F,$A72,Mesures!$C:$C,AC$40),"")</f>
        <v/>
      </c>
      <c r="AD72" s="3">
        <f>IFERROR(AVERAGEIFS(Mesures!$I:$I,Mesures!$F:$F,$A72,Mesures!$C:$C,AD$40),"")</f>
        <v/>
      </c>
      <c r="AE72" s="3">
        <f>IFERROR(AVERAGEIFS(Mesures!$I:$I,Mesures!$F:$F,$A72,Mesures!$C:$C,AE$40),"")</f>
        <v/>
      </c>
      <c r="AF72" s="3">
        <f>IFERROR(AVERAGEIFS(Mesures!$I:$I,Mesures!$F:$F,$A72,Mesures!$C:$C,AF$40),"")</f>
        <v/>
      </c>
      <c r="AG72" s="3">
        <f>IFERROR(AVERAGEIFS(Mesures!$I:$I,Mesures!$F:$F,$A72,Mesures!$C:$C,AG$40),"")</f>
        <v/>
      </c>
      <c r="AH72" s="3">
        <f>IFERROR(AVERAGEIFS(Mesures!$I:$I,Mesures!$F:$F,$A72,Mesures!$C:$C,AH$40),"")</f>
        <v/>
      </c>
      <c r="AI72" s="3">
        <f>IFERROR(AVERAGEIFS(Mesures!$I:$I,Mesures!$F:$F,$A72,Mesures!$C:$C,AI$40),"")</f>
        <v/>
      </c>
      <c r="AJ72" s="3">
        <f>IFERROR(AVERAGEIFS(Mesures!$I:$I,Mesures!$F:$F,$A72,Mesures!$C:$C,AJ$40),"")</f>
        <v/>
      </c>
      <c r="AK72" s="3">
        <f>IFERROR(AVERAGEIFS(Mesures!$I:$I,Mesures!$F:$F,$A72,Mesures!$C:$C,AK$40),"")</f>
        <v/>
      </c>
      <c r="AL72" s="3">
        <f>IFERROR(AVERAGEIFS(Mesures!$I:$I,Mesures!$F:$F,$A72,Mesures!$C:$C,AL$40),"")</f>
        <v/>
      </c>
      <c r="AM72" s="3">
        <f>IFERROR(AVERAGEIFS(Mesures!$I:$I,Mesures!$F:$F,$A72,Mesures!$C:$C,AM$40),"")</f>
        <v/>
      </c>
      <c r="AN72" s="3">
        <f>IFERROR(AVERAGEIFS(Mesures!$I:$I,Mesures!$F:$F,$A72,Mesures!$C:$C,AN$40),"")</f>
        <v/>
      </c>
      <c r="AO72" s="3">
        <f>IFERROR(AVERAGEIFS(Mesures!$I:$I,Mesures!$F:$F,$A72,Mesures!$C:$C,AO$40),"")</f>
        <v/>
      </c>
      <c r="AP72" s="3">
        <f>IFERROR(AVERAGEIFS(Mesures!$I:$I,Mesures!$F:$F,$A72,Mesures!$C:$C,AP$40),"")</f>
        <v/>
      </c>
      <c r="AQ72" s="3">
        <f>IFERROR(AVERAGEIFS(Mesures!$I:$I,Mesures!$F:$F,$A72,Mesures!$C:$C,AQ$40),"")</f>
        <v/>
      </c>
      <c r="AR72" s="3">
        <f>IFERROR(AVERAGEIFS(Mesures!$I:$I,Mesures!$F:$F,$A72,Mesures!$C:$C,AR$40),"")</f>
        <v/>
      </c>
      <c r="AS72" s="3">
        <f>IFERROR(AVERAGEIFS(Mesures!$I:$I,Mesures!$F:$F,$A72,Mesures!$C:$C,AS$40),"")</f>
        <v/>
      </c>
      <c r="AT72" s="3">
        <f>IFERROR(AVERAGEIFS(Mesures!$I:$I,Mesures!$F:$F,$A72,Mesures!$C:$C,AT$40),"")</f>
        <v/>
      </c>
      <c r="AU72" s="3">
        <f>IFERROR(AVERAGEIFS(Mesures!$I:$I,Mesures!$F:$F,$A72,Mesures!$C:$C,AU$40),"")</f>
        <v/>
      </c>
      <c r="AV72" s="3">
        <f>IFERROR(AVERAGEIFS(Mesures!$I:$I,Mesures!$F:$F,$A72,Mesures!$C:$C,AV$40),"")</f>
        <v/>
      </c>
      <c r="AW72" s="3">
        <f>IFERROR(AVERAGEIFS(Mesures!$I:$I,Mesures!$F:$F,$A72,Mesures!$C:$C,AW$40),"")</f>
        <v/>
      </c>
      <c r="AX72" s="3">
        <f>IFERROR(AVERAGEIFS(Mesures!$I:$I,Mesures!$F:$F,$A72,Mesures!$C:$C,AX$40),"")</f>
        <v/>
      </c>
      <c r="AY72" s="3">
        <f>IFERROR(AVERAGEIFS(Mesures!$I:$I,Mesures!$F:$F,$A72,Mesures!$C:$C,AY$40),"")</f>
        <v/>
      </c>
      <c r="AZ72" s="3">
        <f>IFERROR(AVERAGEIFS(Mesures!$I:$I,Mesures!$F:$F,$A72,Mesures!$C:$C,AZ$40),"")</f>
        <v/>
      </c>
      <c r="BA72" s="3">
        <f>IFERROR(AVERAGEIFS(Mesures!$I:$I,Mesures!$F:$F,$A72,Mesures!$C:$C,BA$40),"")</f>
        <v/>
      </c>
      <c r="BB72" s="3">
        <f>IFERROR(AVERAGEIFS(Mesures!$I:$I,Mesures!$F:$F,$A72,Mesures!$C:$C,BB$40),"")</f>
        <v/>
      </c>
      <c r="BC72" s="3">
        <f>IFERROR(AVERAGEIFS(Mesures!$I:$I,Mesures!$F:$F,$A72,Mesures!$C:$C,BC$40),"")</f>
        <v/>
      </c>
      <c r="BD72" s="3">
        <f>IFERROR(AVERAGEIFS(Mesures!$I:$I,Mesures!$F:$F,$A72,Mesures!$C:$C,BD$40),"")</f>
        <v/>
      </c>
      <c r="BE72" s="3">
        <f>IFERROR(AVERAGEIFS(Mesures!$I:$I,Mesures!$F:$F,$A72,Mesures!$C:$C,BE$40),"")</f>
        <v/>
      </c>
      <c r="BF72" s="3">
        <f>IFERROR(AVERAGEIFS(Mesures!$I:$I,Mesures!$F:$F,$A72,Mesures!$C:$C,BF$40),"")</f>
        <v/>
      </c>
    </row>
    <row r="73">
      <c r="A73" s="2" t="inlineStr">
        <is>
          <t>I3 ILDA geometrie (banque Geometrie) / public</t>
        </is>
      </c>
      <c r="B73" s="3">
        <f>IFERROR(AVERAGEIFS(Mesures!$I:$I,Mesures!$F:$F,$A73,Mesures!$C:$C,B$40),"")</f>
        <v/>
      </c>
      <c r="C73" s="3">
        <f>IFERROR(AVERAGEIFS(Mesures!$I:$I,Mesures!$F:$F,$A73,Mesures!$C:$C,C$40),"")</f>
        <v/>
      </c>
      <c r="D73" s="3">
        <f>IFERROR(AVERAGEIFS(Mesures!$I:$I,Mesures!$F:$F,$A73,Mesures!$C:$C,D$40),"")</f>
        <v/>
      </c>
      <c r="E73" s="3">
        <f>IFERROR(AVERAGEIFS(Mesures!$I:$I,Mesures!$F:$F,$A73,Mesures!$C:$C,E$40),"")</f>
        <v/>
      </c>
      <c r="F73" s="3">
        <f>IFERROR(AVERAGEIFS(Mesures!$I:$I,Mesures!$F:$F,$A73,Mesures!$C:$C,F$40),"")</f>
        <v/>
      </c>
      <c r="G73" s="3">
        <f>IFERROR(AVERAGEIFS(Mesures!$I:$I,Mesures!$F:$F,$A73,Mesures!$C:$C,G$40),"")</f>
        <v/>
      </c>
      <c r="H73" s="3">
        <f>IFERROR(AVERAGEIFS(Mesures!$I:$I,Mesures!$F:$F,$A73,Mesures!$C:$C,H$40),"")</f>
        <v/>
      </c>
      <c r="I73" s="3">
        <f>IFERROR(AVERAGEIFS(Mesures!$I:$I,Mesures!$F:$F,$A73,Mesures!$C:$C,I$40),"")</f>
        <v/>
      </c>
      <c r="J73" s="3">
        <f>IFERROR(AVERAGEIFS(Mesures!$I:$I,Mesures!$F:$F,$A73,Mesures!$C:$C,J$40),"")</f>
        <v/>
      </c>
      <c r="K73" s="3">
        <f>IFERROR(AVERAGEIFS(Mesures!$I:$I,Mesures!$F:$F,$A73,Mesures!$C:$C,K$40),"")</f>
        <v/>
      </c>
      <c r="L73" s="3">
        <f>IFERROR(AVERAGEIFS(Mesures!$I:$I,Mesures!$F:$F,$A73,Mesures!$C:$C,L$40),"")</f>
        <v/>
      </c>
      <c r="M73" s="3">
        <f>IFERROR(AVERAGEIFS(Mesures!$I:$I,Mesures!$F:$F,$A73,Mesures!$C:$C,M$40),"")</f>
        <v/>
      </c>
      <c r="N73" s="3">
        <f>IFERROR(AVERAGEIFS(Mesures!$I:$I,Mesures!$F:$F,$A73,Mesures!$C:$C,N$40),"")</f>
        <v/>
      </c>
      <c r="O73" s="3">
        <f>IFERROR(AVERAGEIFS(Mesures!$I:$I,Mesures!$F:$F,$A73,Mesures!$C:$C,O$40),"")</f>
        <v/>
      </c>
      <c r="P73" s="3">
        <f>IFERROR(AVERAGEIFS(Mesures!$I:$I,Mesures!$F:$F,$A73,Mesures!$C:$C,P$40),"")</f>
        <v/>
      </c>
      <c r="Q73" s="3">
        <f>IFERROR(AVERAGEIFS(Mesures!$I:$I,Mesures!$F:$F,$A73,Mesures!$C:$C,Q$40),"")</f>
        <v/>
      </c>
      <c r="R73" s="3">
        <f>IFERROR(AVERAGEIFS(Mesures!$I:$I,Mesures!$F:$F,$A73,Mesures!$C:$C,R$40),"")</f>
        <v/>
      </c>
      <c r="S73" s="3">
        <f>IFERROR(AVERAGEIFS(Mesures!$I:$I,Mesures!$F:$F,$A73,Mesures!$C:$C,S$40),"")</f>
        <v/>
      </c>
      <c r="T73" s="3">
        <f>IFERROR(AVERAGEIFS(Mesures!$I:$I,Mesures!$F:$F,$A73,Mesures!$C:$C,T$40),"")</f>
        <v/>
      </c>
      <c r="U73" s="3">
        <f>IFERROR(AVERAGEIFS(Mesures!$I:$I,Mesures!$F:$F,$A73,Mesures!$C:$C,U$40),"")</f>
        <v/>
      </c>
      <c r="V73" s="3">
        <f>IFERROR(AVERAGEIFS(Mesures!$I:$I,Mesures!$F:$F,$A73,Mesures!$C:$C,V$40),"")</f>
        <v/>
      </c>
      <c r="W73" s="3">
        <f>IFERROR(AVERAGEIFS(Mesures!$I:$I,Mesures!$F:$F,$A73,Mesures!$C:$C,W$40),"")</f>
        <v/>
      </c>
      <c r="X73" s="3">
        <f>IFERROR(AVERAGEIFS(Mesures!$I:$I,Mesures!$F:$F,$A73,Mesures!$C:$C,X$40),"")</f>
        <v/>
      </c>
      <c r="Y73" s="3">
        <f>IFERROR(AVERAGEIFS(Mesures!$I:$I,Mesures!$F:$F,$A73,Mesures!$C:$C,Y$40),"")</f>
        <v/>
      </c>
      <c r="Z73" s="3">
        <f>IFERROR(AVERAGEIFS(Mesures!$I:$I,Mesures!$F:$F,$A73,Mesures!$C:$C,Z$40),"")</f>
        <v/>
      </c>
      <c r="AA73" s="3">
        <f>IFERROR(AVERAGEIFS(Mesures!$I:$I,Mesures!$F:$F,$A73,Mesures!$C:$C,AA$40),"")</f>
        <v/>
      </c>
      <c r="AB73" s="3">
        <f>IFERROR(AVERAGEIFS(Mesures!$I:$I,Mesures!$F:$F,$A73,Mesures!$C:$C,AB$40),"")</f>
        <v/>
      </c>
      <c r="AC73" s="3">
        <f>IFERROR(AVERAGEIFS(Mesures!$I:$I,Mesures!$F:$F,$A73,Mesures!$C:$C,AC$40),"")</f>
        <v/>
      </c>
      <c r="AD73" s="3">
        <f>IFERROR(AVERAGEIFS(Mesures!$I:$I,Mesures!$F:$F,$A73,Mesures!$C:$C,AD$40),"")</f>
        <v/>
      </c>
      <c r="AE73" s="3">
        <f>IFERROR(AVERAGEIFS(Mesures!$I:$I,Mesures!$F:$F,$A73,Mesures!$C:$C,AE$40),"")</f>
        <v/>
      </c>
      <c r="AF73" s="3">
        <f>IFERROR(AVERAGEIFS(Mesures!$I:$I,Mesures!$F:$F,$A73,Mesures!$C:$C,AF$40),"")</f>
        <v/>
      </c>
      <c r="AG73" s="3">
        <f>IFERROR(AVERAGEIFS(Mesures!$I:$I,Mesures!$F:$F,$A73,Mesures!$C:$C,AG$40),"")</f>
        <v/>
      </c>
      <c r="AH73" s="3">
        <f>IFERROR(AVERAGEIFS(Mesures!$I:$I,Mesures!$F:$F,$A73,Mesures!$C:$C,AH$40),"")</f>
        <v/>
      </c>
      <c r="AI73" s="3">
        <f>IFERROR(AVERAGEIFS(Mesures!$I:$I,Mesures!$F:$F,$A73,Mesures!$C:$C,AI$40),"")</f>
        <v/>
      </c>
      <c r="AJ73" s="3">
        <f>IFERROR(AVERAGEIFS(Mesures!$I:$I,Mesures!$F:$F,$A73,Mesures!$C:$C,AJ$40),"")</f>
        <v/>
      </c>
      <c r="AK73" s="3">
        <f>IFERROR(AVERAGEIFS(Mesures!$I:$I,Mesures!$F:$F,$A73,Mesures!$C:$C,AK$40),"")</f>
        <v/>
      </c>
      <c r="AL73" s="3">
        <f>IFERROR(AVERAGEIFS(Mesures!$I:$I,Mesures!$F:$F,$A73,Mesures!$C:$C,AL$40),"")</f>
        <v/>
      </c>
      <c r="AM73" s="3">
        <f>IFERROR(AVERAGEIFS(Mesures!$I:$I,Mesures!$F:$F,$A73,Mesures!$C:$C,AM$40),"")</f>
        <v/>
      </c>
      <c r="AN73" s="3">
        <f>IFERROR(AVERAGEIFS(Mesures!$I:$I,Mesures!$F:$F,$A73,Mesures!$C:$C,AN$40),"")</f>
        <v/>
      </c>
      <c r="AO73" s="3">
        <f>IFERROR(AVERAGEIFS(Mesures!$I:$I,Mesures!$F:$F,$A73,Mesures!$C:$C,AO$40),"")</f>
        <v/>
      </c>
      <c r="AP73" s="3">
        <f>IFERROR(AVERAGEIFS(Mesures!$I:$I,Mesures!$F:$F,$A73,Mesures!$C:$C,AP$40),"")</f>
        <v/>
      </c>
      <c r="AQ73" s="3">
        <f>IFERROR(AVERAGEIFS(Mesures!$I:$I,Mesures!$F:$F,$A73,Mesures!$C:$C,AQ$40),"")</f>
        <v/>
      </c>
      <c r="AR73" s="3">
        <f>IFERROR(AVERAGEIFS(Mesures!$I:$I,Mesures!$F:$F,$A73,Mesures!$C:$C,AR$40),"")</f>
        <v/>
      </c>
      <c r="AS73" s="3">
        <f>IFERROR(AVERAGEIFS(Mesures!$I:$I,Mesures!$F:$F,$A73,Mesures!$C:$C,AS$40),"")</f>
        <v/>
      </c>
      <c r="AT73" s="3">
        <f>IFERROR(AVERAGEIFS(Mesures!$I:$I,Mesures!$F:$F,$A73,Mesures!$C:$C,AT$40),"")</f>
        <v/>
      </c>
      <c r="AU73" s="3">
        <f>IFERROR(AVERAGEIFS(Mesures!$I:$I,Mesures!$F:$F,$A73,Mesures!$C:$C,AU$40),"")</f>
        <v/>
      </c>
      <c r="AV73" s="3">
        <f>IFERROR(AVERAGEIFS(Mesures!$I:$I,Mesures!$F:$F,$A73,Mesures!$C:$C,AV$40),"")</f>
        <v/>
      </c>
      <c r="AW73" s="3">
        <f>IFERROR(AVERAGEIFS(Mesures!$I:$I,Mesures!$F:$F,$A73,Mesures!$C:$C,AW$40),"")</f>
        <v/>
      </c>
      <c r="AX73" s="3">
        <f>IFERROR(AVERAGEIFS(Mesures!$I:$I,Mesures!$F:$F,$A73,Mesures!$C:$C,AX$40),"")</f>
        <v/>
      </c>
      <c r="AY73" s="3">
        <f>IFERROR(AVERAGEIFS(Mesures!$I:$I,Mesures!$F:$F,$A73,Mesures!$C:$C,AY$40),"")</f>
        <v/>
      </c>
      <c r="AZ73" s="3">
        <f>IFERROR(AVERAGEIFS(Mesures!$I:$I,Mesures!$F:$F,$A73,Mesures!$C:$C,AZ$40),"")</f>
        <v/>
      </c>
      <c r="BA73" s="3">
        <f>IFERROR(AVERAGEIFS(Mesures!$I:$I,Mesures!$F:$F,$A73,Mesures!$C:$C,BA$40),"")</f>
        <v/>
      </c>
      <c r="BB73" s="3">
        <f>IFERROR(AVERAGEIFS(Mesures!$I:$I,Mesures!$F:$F,$A73,Mesures!$C:$C,BB$40),"")</f>
        <v/>
      </c>
      <c r="BC73" s="3">
        <f>IFERROR(AVERAGEIFS(Mesures!$I:$I,Mesures!$F:$F,$A73,Mesures!$C:$C,BC$40),"")</f>
        <v/>
      </c>
      <c r="BD73" s="3">
        <f>IFERROR(AVERAGEIFS(Mesures!$I:$I,Mesures!$F:$F,$A73,Mesures!$C:$C,BD$40),"")</f>
        <v/>
      </c>
      <c r="BE73" s="3">
        <f>IFERROR(AVERAGEIFS(Mesures!$I:$I,Mesures!$F:$F,$A73,Mesures!$C:$C,BE$40),"")</f>
        <v/>
      </c>
      <c r="BF73" s="3">
        <f>IFERROR(AVERAGEIFS(Mesures!$I:$I,Mesures!$F:$F,$A73,Mesures!$C:$C,BF$40),"")</f>
        <v/>
      </c>
    </row>
    <row r="74">
      <c r="A74" s="2" t="inlineStr">
        <is>
          <t>I4 ILDA tunnels (banque Tunnels) / public</t>
        </is>
      </c>
      <c r="B74" s="3">
        <f>IFERROR(AVERAGEIFS(Mesures!$I:$I,Mesures!$F:$F,$A74,Mesures!$C:$C,B$40),"")</f>
        <v/>
      </c>
      <c r="C74" s="3">
        <f>IFERROR(AVERAGEIFS(Mesures!$I:$I,Mesures!$F:$F,$A74,Mesures!$C:$C,C$40),"")</f>
        <v/>
      </c>
      <c r="D74" s="3">
        <f>IFERROR(AVERAGEIFS(Mesures!$I:$I,Mesures!$F:$F,$A74,Mesures!$C:$C,D$40),"")</f>
        <v/>
      </c>
      <c r="E74" s="3">
        <f>IFERROR(AVERAGEIFS(Mesures!$I:$I,Mesures!$F:$F,$A74,Mesures!$C:$C,E$40),"")</f>
        <v/>
      </c>
      <c r="F74" s="3">
        <f>IFERROR(AVERAGEIFS(Mesures!$I:$I,Mesures!$F:$F,$A74,Mesures!$C:$C,F$40),"")</f>
        <v/>
      </c>
      <c r="G74" s="3">
        <f>IFERROR(AVERAGEIFS(Mesures!$I:$I,Mesures!$F:$F,$A74,Mesures!$C:$C,G$40),"")</f>
        <v/>
      </c>
      <c r="H74" s="3">
        <f>IFERROR(AVERAGEIFS(Mesures!$I:$I,Mesures!$F:$F,$A74,Mesures!$C:$C,H$40),"")</f>
        <v/>
      </c>
      <c r="I74" s="3">
        <f>IFERROR(AVERAGEIFS(Mesures!$I:$I,Mesures!$F:$F,$A74,Mesures!$C:$C,I$40),"")</f>
        <v/>
      </c>
      <c r="J74" s="3">
        <f>IFERROR(AVERAGEIFS(Mesures!$I:$I,Mesures!$F:$F,$A74,Mesures!$C:$C,J$40),"")</f>
        <v/>
      </c>
      <c r="K74" s="3">
        <f>IFERROR(AVERAGEIFS(Mesures!$I:$I,Mesures!$F:$F,$A74,Mesures!$C:$C,K$40),"")</f>
        <v/>
      </c>
      <c r="L74" s="3">
        <f>IFERROR(AVERAGEIFS(Mesures!$I:$I,Mesures!$F:$F,$A74,Mesures!$C:$C,L$40),"")</f>
        <v/>
      </c>
      <c r="M74" s="3">
        <f>IFERROR(AVERAGEIFS(Mesures!$I:$I,Mesures!$F:$F,$A74,Mesures!$C:$C,M$40),"")</f>
        <v/>
      </c>
      <c r="N74" s="3">
        <f>IFERROR(AVERAGEIFS(Mesures!$I:$I,Mesures!$F:$F,$A74,Mesures!$C:$C,N$40),"")</f>
        <v/>
      </c>
      <c r="O74" s="3">
        <f>IFERROR(AVERAGEIFS(Mesures!$I:$I,Mesures!$F:$F,$A74,Mesures!$C:$C,O$40),"")</f>
        <v/>
      </c>
      <c r="P74" s="3">
        <f>IFERROR(AVERAGEIFS(Mesures!$I:$I,Mesures!$F:$F,$A74,Mesures!$C:$C,P$40),"")</f>
        <v/>
      </c>
      <c r="Q74" s="3">
        <f>IFERROR(AVERAGEIFS(Mesures!$I:$I,Mesures!$F:$F,$A74,Mesures!$C:$C,Q$40),"")</f>
        <v/>
      </c>
      <c r="R74" s="3">
        <f>IFERROR(AVERAGEIFS(Mesures!$I:$I,Mesures!$F:$F,$A74,Mesures!$C:$C,R$40),"")</f>
        <v/>
      </c>
      <c r="S74" s="3">
        <f>IFERROR(AVERAGEIFS(Mesures!$I:$I,Mesures!$F:$F,$A74,Mesures!$C:$C,S$40),"")</f>
        <v/>
      </c>
      <c r="T74" s="3">
        <f>IFERROR(AVERAGEIFS(Mesures!$I:$I,Mesures!$F:$F,$A74,Mesures!$C:$C,T$40),"")</f>
        <v/>
      </c>
      <c r="U74" s="3">
        <f>IFERROR(AVERAGEIFS(Mesures!$I:$I,Mesures!$F:$F,$A74,Mesures!$C:$C,U$40),"")</f>
        <v/>
      </c>
      <c r="V74" s="3">
        <f>IFERROR(AVERAGEIFS(Mesures!$I:$I,Mesures!$F:$F,$A74,Mesures!$C:$C,V$40),"")</f>
        <v/>
      </c>
      <c r="W74" s="3">
        <f>IFERROR(AVERAGEIFS(Mesures!$I:$I,Mesures!$F:$F,$A74,Mesures!$C:$C,W$40),"")</f>
        <v/>
      </c>
      <c r="X74" s="3">
        <f>IFERROR(AVERAGEIFS(Mesures!$I:$I,Mesures!$F:$F,$A74,Mesures!$C:$C,X$40),"")</f>
        <v/>
      </c>
      <c r="Y74" s="3">
        <f>IFERROR(AVERAGEIFS(Mesures!$I:$I,Mesures!$F:$F,$A74,Mesures!$C:$C,Y$40),"")</f>
        <v/>
      </c>
      <c r="Z74" s="3">
        <f>IFERROR(AVERAGEIFS(Mesures!$I:$I,Mesures!$F:$F,$A74,Mesures!$C:$C,Z$40),"")</f>
        <v/>
      </c>
      <c r="AA74" s="3">
        <f>IFERROR(AVERAGEIFS(Mesures!$I:$I,Mesures!$F:$F,$A74,Mesures!$C:$C,AA$40),"")</f>
        <v/>
      </c>
      <c r="AB74" s="3">
        <f>IFERROR(AVERAGEIFS(Mesures!$I:$I,Mesures!$F:$F,$A74,Mesures!$C:$C,AB$40),"")</f>
        <v/>
      </c>
      <c r="AC74" s="3">
        <f>IFERROR(AVERAGEIFS(Mesures!$I:$I,Mesures!$F:$F,$A74,Mesures!$C:$C,AC$40),"")</f>
        <v/>
      </c>
      <c r="AD74" s="3">
        <f>IFERROR(AVERAGEIFS(Mesures!$I:$I,Mesures!$F:$F,$A74,Mesures!$C:$C,AD$40),"")</f>
        <v/>
      </c>
      <c r="AE74" s="3">
        <f>IFERROR(AVERAGEIFS(Mesures!$I:$I,Mesures!$F:$F,$A74,Mesures!$C:$C,AE$40),"")</f>
        <v/>
      </c>
      <c r="AF74" s="3">
        <f>IFERROR(AVERAGEIFS(Mesures!$I:$I,Mesures!$F:$F,$A74,Mesures!$C:$C,AF$40),"")</f>
        <v/>
      </c>
      <c r="AG74" s="3">
        <f>IFERROR(AVERAGEIFS(Mesures!$I:$I,Mesures!$F:$F,$A74,Mesures!$C:$C,AG$40),"")</f>
        <v/>
      </c>
      <c r="AH74" s="3">
        <f>IFERROR(AVERAGEIFS(Mesures!$I:$I,Mesures!$F:$F,$A74,Mesures!$C:$C,AH$40),"")</f>
        <v/>
      </c>
      <c r="AI74" s="3">
        <f>IFERROR(AVERAGEIFS(Mesures!$I:$I,Mesures!$F:$F,$A74,Mesures!$C:$C,AI$40),"")</f>
        <v/>
      </c>
      <c r="AJ74" s="3">
        <f>IFERROR(AVERAGEIFS(Mesures!$I:$I,Mesures!$F:$F,$A74,Mesures!$C:$C,AJ$40),"")</f>
        <v/>
      </c>
      <c r="AK74" s="3">
        <f>IFERROR(AVERAGEIFS(Mesures!$I:$I,Mesures!$F:$F,$A74,Mesures!$C:$C,AK$40),"")</f>
        <v/>
      </c>
      <c r="AL74" s="3">
        <f>IFERROR(AVERAGEIFS(Mesures!$I:$I,Mesures!$F:$F,$A74,Mesures!$C:$C,AL$40),"")</f>
        <v/>
      </c>
      <c r="AM74" s="3">
        <f>IFERROR(AVERAGEIFS(Mesures!$I:$I,Mesures!$F:$F,$A74,Mesures!$C:$C,AM$40),"")</f>
        <v/>
      </c>
      <c r="AN74" s="3">
        <f>IFERROR(AVERAGEIFS(Mesures!$I:$I,Mesures!$F:$F,$A74,Mesures!$C:$C,AN$40),"")</f>
        <v/>
      </c>
      <c r="AO74" s="3">
        <f>IFERROR(AVERAGEIFS(Mesures!$I:$I,Mesures!$F:$F,$A74,Mesures!$C:$C,AO$40),"")</f>
        <v/>
      </c>
      <c r="AP74" s="3">
        <f>IFERROR(AVERAGEIFS(Mesures!$I:$I,Mesures!$F:$F,$A74,Mesures!$C:$C,AP$40),"")</f>
        <v/>
      </c>
      <c r="AQ74" s="3">
        <f>IFERROR(AVERAGEIFS(Mesures!$I:$I,Mesures!$F:$F,$A74,Mesures!$C:$C,AQ$40),"")</f>
        <v/>
      </c>
      <c r="AR74" s="3">
        <f>IFERROR(AVERAGEIFS(Mesures!$I:$I,Mesures!$F:$F,$A74,Mesures!$C:$C,AR$40),"")</f>
        <v/>
      </c>
      <c r="AS74" s="3">
        <f>IFERROR(AVERAGEIFS(Mesures!$I:$I,Mesures!$F:$F,$A74,Mesures!$C:$C,AS$40),"")</f>
        <v/>
      </c>
      <c r="AT74" s="3">
        <f>IFERROR(AVERAGEIFS(Mesures!$I:$I,Mesures!$F:$F,$A74,Mesures!$C:$C,AT$40),"")</f>
        <v/>
      </c>
      <c r="AU74" s="3">
        <f>IFERROR(AVERAGEIFS(Mesures!$I:$I,Mesures!$F:$F,$A74,Mesures!$C:$C,AU$40),"")</f>
        <v/>
      </c>
      <c r="AV74" s="3">
        <f>IFERROR(AVERAGEIFS(Mesures!$I:$I,Mesures!$F:$F,$A74,Mesures!$C:$C,AV$40),"")</f>
        <v/>
      </c>
      <c r="AW74" s="3">
        <f>IFERROR(AVERAGEIFS(Mesures!$I:$I,Mesures!$F:$F,$A74,Mesures!$C:$C,AW$40),"")</f>
        <v/>
      </c>
      <c r="AX74" s="3">
        <f>IFERROR(AVERAGEIFS(Mesures!$I:$I,Mesures!$F:$F,$A74,Mesures!$C:$C,AX$40),"")</f>
        <v/>
      </c>
      <c r="AY74" s="3">
        <f>IFERROR(AVERAGEIFS(Mesures!$I:$I,Mesures!$F:$F,$A74,Mesures!$C:$C,AY$40),"")</f>
        <v/>
      </c>
      <c r="AZ74" s="3">
        <f>IFERROR(AVERAGEIFS(Mesures!$I:$I,Mesures!$F:$F,$A74,Mesures!$C:$C,AZ$40),"")</f>
        <v/>
      </c>
      <c r="BA74" s="3">
        <f>IFERROR(AVERAGEIFS(Mesures!$I:$I,Mesures!$F:$F,$A74,Mesures!$C:$C,BA$40),"")</f>
        <v/>
      </c>
      <c r="BB74" s="3">
        <f>IFERROR(AVERAGEIFS(Mesures!$I:$I,Mesures!$F:$F,$A74,Mesures!$C:$C,BB$40),"")</f>
        <v/>
      </c>
      <c r="BC74" s="3">
        <f>IFERROR(AVERAGEIFS(Mesures!$I:$I,Mesures!$F:$F,$A74,Mesures!$C:$C,BC$40),"")</f>
        <v/>
      </c>
      <c r="BD74" s="3">
        <f>IFERROR(AVERAGEIFS(Mesures!$I:$I,Mesures!$F:$F,$A74,Mesures!$C:$C,BD$40),"")</f>
        <v/>
      </c>
      <c r="BE74" s="3">
        <f>IFERROR(AVERAGEIFS(Mesures!$I:$I,Mesures!$F:$F,$A74,Mesures!$C:$C,BE$40),"")</f>
        <v/>
      </c>
      <c r="BF74" s="3">
        <f>IFERROR(AVERAGEIFS(Mesures!$I:$I,Mesures!$F:$F,$A74,Mesures!$C:$C,BF$40),"")</f>
        <v/>
      </c>
    </row>
    <row r="75">
      <c r="A75" s="2" t="inlineStr">
        <is>
          <t>L1 en mode ligne (nappes continues) / public</t>
        </is>
      </c>
      <c r="B75" s="3">
        <f>IFERROR(AVERAGEIFS(Mesures!$I:$I,Mesures!$F:$F,$A75,Mesures!$C:$C,B$40),"")</f>
        <v/>
      </c>
      <c r="C75" s="3">
        <f>IFERROR(AVERAGEIFS(Mesures!$I:$I,Mesures!$F:$F,$A75,Mesures!$C:$C,C$40),"")</f>
        <v/>
      </c>
      <c r="D75" s="3">
        <f>IFERROR(AVERAGEIFS(Mesures!$I:$I,Mesures!$F:$F,$A75,Mesures!$C:$C,D$40),"")</f>
        <v/>
      </c>
      <c r="E75" s="3">
        <f>IFERROR(AVERAGEIFS(Mesures!$I:$I,Mesures!$F:$F,$A75,Mesures!$C:$C,E$40),"")</f>
        <v/>
      </c>
      <c r="F75" s="3">
        <f>IFERROR(AVERAGEIFS(Mesures!$I:$I,Mesures!$F:$F,$A75,Mesures!$C:$C,F$40),"")</f>
        <v/>
      </c>
      <c r="G75" s="3">
        <f>IFERROR(AVERAGEIFS(Mesures!$I:$I,Mesures!$F:$F,$A75,Mesures!$C:$C,G$40),"")</f>
        <v/>
      </c>
      <c r="H75" s="3">
        <f>IFERROR(AVERAGEIFS(Mesures!$I:$I,Mesures!$F:$F,$A75,Mesures!$C:$C,H$40),"")</f>
        <v/>
      </c>
      <c r="I75" s="3">
        <f>IFERROR(AVERAGEIFS(Mesures!$I:$I,Mesures!$F:$F,$A75,Mesures!$C:$C,I$40),"")</f>
        <v/>
      </c>
      <c r="J75" s="3">
        <f>IFERROR(AVERAGEIFS(Mesures!$I:$I,Mesures!$F:$F,$A75,Mesures!$C:$C,J$40),"")</f>
        <v/>
      </c>
      <c r="K75" s="3">
        <f>IFERROR(AVERAGEIFS(Mesures!$I:$I,Mesures!$F:$F,$A75,Mesures!$C:$C,K$40),"")</f>
        <v/>
      </c>
      <c r="L75" s="3">
        <f>IFERROR(AVERAGEIFS(Mesures!$I:$I,Mesures!$F:$F,$A75,Mesures!$C:$C,L$40),"")</f>
        <v/>
      </c>
      <c r="M75" s="3">
        <f>IFERROR(AVERAGEIFS(Mesures!$I:$I,Mesures!$F:$F,$A75,Mesures!$C:$C,M$40),"")</f>
        <v/>
      </c>
      <c r="N75" s="3">
        <f>IFERROR(AVERAGEIFS(Mesures!$I:$I,Mesures!$F:$F,$A75,Mesures!$C:$C,N$40),"")</f>
        <v/>
      </c>
      <c r="O75" s="3">
        <f>IFERROR(AVERAGEIFS(Mesures!$I:$I,Mesures!$F:$F,$A75,Mesures!$C:$C,O$40),"")</f>
        <v/>
      </c>
      <c r="P75" s="3">
        <f>IFERROR(AVERAGEIFS(Mesures!$I:$I,Mesures!$F:$F,$A75,Mesures!$C:$C,P$40),"")</f>
        <v/>
      </c>
      <c r="Q75" s="3">
        <f>IFERROR(AVERAGEIFS(Mesures!$I:$I,Mesures!$F:$F,$A75,Mesures!$C:$C,Q$40),"")</f>
        <v/>
      </c>
      <c r="R75" s="3">
        <f>IFERROR(AVERAGEIFS(Mesures!$I:$I,Mesures!$F:$F,$A75,Mesures!$C:$C,R$40),"")</f>
        <v/>
      </c>
      <c r="S75" s="3">
        <f>IFERROR(AVERAGEIFS(Mesures!$I:$I,Mesures!$F:$F,$A75,Mesures!$C:$C,S$40),"")</f>
        <v/>
      </c>
      <c r="T75" s="3">
        <f>IFERROR(AVERAGEIFS(Mesures!$I:$I,Mesures!$F:$F,$A75,Mesures!$C:$C,T$40),"")</f>
        <v/>
      </c>
      <c r="U75" s="3">
        <f>IFERROR(AVERAGEIFS(Mesures!$I:$I,Mesures!$F:$F,$A75,Mesures!$C:$C,U$40),"")</f>
        <v/>
      </c>
      <c r="V75" s="3">
        <f>IFERROR(AVERAGEIFS(Mesures!$I:$I,Mesures!$F:$F,$A75,Mesures!$C:$C,V$40),"")</f>
        <v/>
      </c>
      <c r="W75" s="3">
        <f>IFERROR(AVERAGEIFS(Mesures!$I:$I,Mesures!$F:$F,$A75,Mesures!$C:$C,W$40),"")</f>
        <v/>
      </c>
      <c r="X75" s="3">
        <f>IFERROR(AVERAGEIFS(Mesures!$I:$I,Mesures!$F:$F,$A75,Mesures!$C:$C,X$40),"")</f>
        <v/>
      </c>
      <c r="Y75" s="3">
        <f>IFERROR(AVERAGEIFS(Mesures!$I:$I,Mesures!$F:$F,$A75,Mesures!$C:$C,Y$40),"")</f>
        <v/>
      </c>
      <c r="Z75" s="3">
        <f>IFERROR(AVERAGEIFS(Mesures!$I:$I,Mesures!$F:$F,$A75,Mesures!$C:$C,Z$40),"")</f>
        <v/>
      </c>
      <c r="AA75" s="3">
        <f>IFERROR(AVERAGEIFS(Mesures!$I:$I,Mesures!$F:$F,$A75,Mesures!$C:$C,AA$40),"")</f>
        <v/>
      </c>
      <c r="AB75" s="3">
        <f>IFERROR(AVERAGEIFS(Mesures!$I:$I,Mesures!$F:$F,$A75,Mesures!$C:$C,AB$40),"")</f>
        <v/>
      </c>
      <c r="AC75" s="3">
        <f>IFERROR(AVERAGEIFS(Mesures!$I:$I,Mesures!$F:$F,$A75,Mesures!$C:$C,AC$40),"")</f>
        <v/>
      </c>
      <c r="AD75" s="3">
        <f>IFERROR(AVERAGEIFS(Mesures!$I:$I,Mesures!$F:$F,$A75,Mesures!$C:$C,AD$40),"")</f>
        <v/>
      </c>
      <c r="AE75" s="3">
        <f>IFERROR(AVERAGEIFS(Mesures!$I:$I,Mesures!$F:$F,$A75,Mesures!$C:$C,AE$40),"")</f>
        <v/>
      </c>
      <c r="AF75" s="3">
        <f>IFERROR(AVERAGEIFS(Mesures!$I:$I,Mesures!$F:$F,$A75,Mesures!$C:$C,AF$40),"")</f>
        <v/>
      </c>
      <c r="AG75" s="3">
        <f>IFERROR(AVERAGEIFS(Mesures!$I:$I,Mesures!$F:$F,$A75,Mesures!$C:$C,AG$40),"")</f>
        <v/>
      </c>
      <c r="AH75" s="3">
        <f>IFERROR(AVERAGEIFS(Mesures!$I:$I,Mesures!$F:$F,$A75,Mesures!$C:$C,AH$40),"")</f>
        <v/>
      </c>
      <c r="AI75" s="3">
        <f>IFERROR(AVERAGEIFS(Mesures!$I:$I,Mesures!$F:$F,$A75,Mesures!$C:$C,AI$40),"")</f>
        <v/>
      </c>
      <c r="AJ75" s="3">
        <f>IFERROR(AVERAGEIFS(Mesures!$I:$I,Mesures!$F:$F,$A75,Mesures!$C:$C,AJ$40),"")</f>
        <v/>
      </c>
      <c r="AK75" s="3">
        <f>IFERROR(AVERAGEIFS(Mesures!$I:$I,Mesures!$F:$F,$A75,Mesures!$C:$C,AK$40),"")</f>
        <v/>
      </c>
      <c r="AL75" s="3">
        <f>IFERROR(AVERAGEIFS(Mesures!$I:$I,Mesures!$F:$F,$A75,Mesures!$C:$C,AL$40),"")</f>
        <v/>
      </c>
      <c r="AM75" s="3">
        <f>IFERROR(AVERAGEIFS(Mesures!$I:$I,Mesures!$F:$F,$A75,Mesures!$C:$C,AM$40),"")</f>
        <v/>
      </c>
      <c r="AN75" s="3">
        <f>IFERROR(AVERAGEIFS(Mesures!$I:$I,Mesures!$F:$F,$A75,Mesures!$C:$C,AN$40),"")</f>
        <v/>
      </c>
      <c r="AO75" s="3">
        <f>IFERROR(AVERAGEIFS(Mesures!$I:$I,Mesures!$F:$F,$A75,Mesures!$C:$C,AO$40),"")</f>
        <v/>
      </c>
      <c r="AP75" s="3">
        <f>IFERROR(AVERAGEIFS(Mesures!$I:$I,Mesures!$F:$F,$A75,Mesures!$C:$C,AP$40),"")</f>
        <v/>
      </c>
      <c r="AQ75" s="3">
        <f>IFERROR(AVERAGEIFS(Mesures!$I:$I,Mesures!$F:$F,$A75,Mesures!$C:$C,AQ$40),"")</f>
        <v/>
      </c>
      <c r="AR75" s="3">
        <f>IFERROR(AVERAGEIFS(Mesures!$I:$I,Mesures!$F:$F,$A75,Mesures!$C:$C,AR$40),"")</f>
        <v/>
      </c>
      <c r="AS75" s="3">
        <f>IFERROR(AVERAGEIFS(Mesures!$I:$I,Mesures!$F:$F,$A75,Mesures!$C:$C,AS$40),"")</f>
        <v/>
      </c>
      <c r="AT75" s="3">
        <f>IFERROR(AVERAGEIFS(Mesures!$I:$I,Mesures!$F:$F,$A75,Mesures!$C:$C,AT$40),"")</f>
        <v/>
      </c>
      <c r="AU75" s="3">
        <f>IFERROR(AVERAGEIFS(Mesures!$I:$I,Mesures!$F:$F,$A75,Mesures!$C:$C,AU$40),"")</f>
        <v/>
      </c>
      <c r="AV75" s="3">
        <f>IFERROR(AVERAGEIFS(Mesures!$I:$I,Mesures!$F:$F,$A75,Mesures!$C:$C,AV$40),"")</f>
        <v/>
      </c>
      <c r="AW75" s="3">
        <f>IFERROR(AVERAGEIFS(Mesures!$I:$I,Mesures!$F:$F,$A75,Mesures!$C:$C,AW$40),"")</f>
        <v/>
      </c>
      <c r="AX75" s="3">
        <f>IFERROR(AVERAGEIFS(Mesures!$I:$I,Mesures!$F:$F,$A75,Mesures!$C:$C,AX$40),"")</f>
        <v/>
      </c>
      <c r="AY75" s="3">
        <f>IFERROR(AVERAGEIFS(Mesures!$I:$I,Mesures!$F:$F,$A75,Mesures!$C:$C,AY$40),"")</f>
        <v/>
      </c>
      <c r="AZ75" s="3">
        <f>IFERROR(AVERAGEIFS(Mesures!$I:$I,Mesures!$F:$F,$A75,Mesures!$C:$C,AZ$40),"")</f>
        <v/>
      </c>
      <c r="BA75" s="3">
        <f>IFERROR(AVERAGEIFS(Mesures!$I:$I,Mesures!$F:$F,$A75,Mesures!$C:$C,BA$40),"")</f>
        <v/>
      </c>
      <c r="BB75" s="3">
        <f>IFERROR(AVERAGEIFS(Mesures!$I:$I,Mesures!$F:$F,$A75,Mesures!$C:$C,BB$40),"")</f>
        <v/>
      </c>
      <c r="BC75" s="3">
        <f>IFERROR(AVERAGEIFS(Mesures!$I:$I,Mesures!$F:$F,$A75,Mesures!$C:$C,BC$40),"")</f>
        <v/>
      </c>
      <c r="BD75" s="3">
        <f>IFERROR(AVERAGEIFS(Mesures!$I:$I,Mesures!$F:$F,$A75,Mesures!$C:$C,BD$40),"")</f>
        <v/>
      </c>
      <c r="BE75" s="3">
        <f>IFERROR(AVERAGEIFS(Mesures!$I:$I,Mesures!$F:$F,$A75,Mesures!$C:$C,BE$40),"")</f>
        <v/>
      </c>
      <c r="BF75" s="3">
        <f>IFERROR(AVERAGEIFS(Mesures!$I:$I,Mesures!$F:$F,$A75,Mesures!$C:$C,BF$40),"")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2026-10-15T14:32:09Z</dcterms:modified>
</cp:coreProperties>
</file>